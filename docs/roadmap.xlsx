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ily Plan" sheetId="1" state="visible" r:id="rId3"/>
    <sheet name="Feature Tracker" sheetId="2" state="visible" r:id="rId4"/>
    <sheet name="Weekly Review" sheetId="3" state="visible" r:id="rId5"/>
    <sheet name="Release Map" sheetId="4" state="visible" r:id="rId6"/>
    <sheet name="How to Use" sheetId="5" state="visible" r:id="rId7"/>
    <sheet name="Progress Dashboard" sheetId="6" state="visible" r:id="rId8"/>
    <sheet name="PRD Coverage" sheetId="7" state="visible" r:id="rId9"/>
    <sheet name="Required Changes" sheetId="8" state="visible" r:id="rId10"/>
  </sheets>
  <definedNames>
    <definedName function="false" hidden="true" localSheetId="0" name="_xlnm._FilterDatabase" vbProcedure="false">'Daily Plan'!$A$1:$J$161</definedName>
    <definedName function="false" hidden="true" localSheetId="1" name="_xlnm._FilterDatabase" vbProcedure="false">'Feature Tracker'!$A$1:$F$100</definedName>
    <definedName function="false" hidden="true" localSheetId="6" name="_xlnm._FilterDatabase" vbProcedure="false">'PRD Coverage'!$A$1:$D$39</definedName>
    <definedName function="false" hidden="true" localSheetId="2" name="_xlnm._FilterDatabase" vbProcedure="false">'Weekly Review'!$A$1:$G$33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<sst xmlns="http://schemas.openxmlformats.org/spreadsheetml/2006/main" count="1922" uniqueCount="866">
  <si>
    <t xml:space="preserve">Day</t>
  </si>
  <si>
    <t xml:space="preserve">Week</t>
  </si>
  <si>
    <t xml:space="preserve">Phase</t>
  </si>
  <si>
    <t xml:space="preserve">Feature</t>
  </si>
  <si>
    <t xml:space="preserve">Build / Focus</t>
  </si>
  <si>
    <t xml:space="preserve">Test / Acceptance Check</t>
  </si>
  <si>
    <t xml:space="preserve">End-of-Day Deliverable</t>
  </si>
  <si>
    <t xml:space="preserve">Time</t>
  </si>
  <si>
    <t xml:space="preserve">Status</t>
  </si>
  <si>
    <t xml:space="preserve">Notes</t>
  </si>
  <si>
    <t xml:space="preserve">Foundation</t>
  </si>
  <si>
    <t xml:space="preserve">Project architecture</t>
  </si>
  <si>
    <t xml:space="preserve">Define modules, boundaries, API/service structure</t>
  </si>
  <si>
    <t xml:space="preserve">Review future modules fit without circular dependencies</t>
  </si>
  <si>
    <t xml:space="preserve">Architecture notes</t>
  </si>
  <si>
    <t xml:space="preserve">1h</t>
  </si>
  <si>
    <t xml:space="preserve">Not Started</t>
  </si>
  <si>
    <t xml:space="preserve">Repo + tooling</t>
  </si>
  <si>
    <t xml:space="preserve">Set up Next.js/TypeScript, linting, formatting, env handling, Git workflow</t>
  </si>
  <si>
    <t xml:space="preserve">Fresh install + lint + build</t>
  </si>
  <si>
    <t xml:space="preserve">Clean starter repo</t>
  </si>
  <si>
    <t xml:space="preserve">Automated testing setup</t>
  </si>
  <si>
    <t xml:space="preserve">Set up a unit/API test runner and one end-to-end test tool</t>
  </si>
  <si>
    <t xml:space="preserve">One passing sample test of each kind runs locally</t>
  </si>
  <si>
    <t xml:space="preserve">Test harness ready</t>
  </si>
  <si>
    <t xml:space="preserve">Database</t>
  </si>
  <si>
    <t xml:space="preserve">Set up PostgreSQL + Prisma</t>
  </si>
  <si>
    <t xml:space="preserve">Migration works on clean DB</t>
  </si>
  <si>
    <t xml:space="preserve">DB connected</t>
  </si>
  <si>
    <t xml:space="preserve">Core schema</t>
  </si>
  <si>
    <t xml:space="preserve">Create Organisation, Department, User, Role base models. Design as multi-tenant-ready (org_id scoping on every table) even though only one organisation exists today — cheap insurance if this is ever sold to other firms.</t>
  </si>
  <si>
    <t xml:space="preserve">Create/read sample records</t>
  </si>
  <si>
    <t xml:space="preserve">Initial migration</t>
  </si>
  <si>
    <t xml:space="preserve">Validation + errors</t>
  </si>
  <si>
    <t xml:space="preserve">Create shared validation and API error conventions</t>
  </si>
  <si>
    <t xml:space="preserve">Invalid payloads return predictable errors</t>
  </si>
  <si>
    <t xml:space="preserve">Validation/error layer</t>
  </si>
  <si>
    <t xml:space="preserve">UI shell</t>
  </si>
  <si>
    <t xml:space="preserve">Build app shell, sidebar, header, responsive layout</t>
  </si>
  <si>
    <t xml:space="preserve">Desktop + mobile smoke test</t>
  </si>
  <si>
    <t xml:space="preserve">Reusable app shell</t>
  </si>
  <si>
    <t xml:space="preserve">Observability</t>
  </si>
  <si>
    <t xml:space="preserve">Add structured server logs and error logging</t>
  </si>
  <si>
    <t xml:space="preserve">Trigger test error and verify useful log</t>
  </si>
  <si>
    <t xml:space="preserve">Logging baseline</t>
  </si>
  <si>
    <t xml:space="preserve">Seed data</t>
  </si>
  <si>
    <t xml:space="preserve">Create repeatable development seed</t>
  </si>
  <si>
    <t xml:space="preserve">Seed from empty DB successfully</t>
  </si>
  <si>
    <t xml:space="preserve">Seed script</t>
  </si>
  <si>
    <t xml:space="preserve">CI pipeline</t>
  </si>
  <si>
    <t xml:space="preserve">Add a CI workflow that runs lint + automated tests on every push</t>
  </si>
  <si>
    <t xml:space="preserve">A deliberately broken test fails the pipeline; a passing one goes green</t>
  </si>
  <si>
    <t xml:space="preserve">Continuous integration baseline</t>
  </si>
  <si>
    <t xml:space="preserve">Auth &amp; Security</t>
  </si>
  <si>
    <t xml:space="preserve">Authentication</t>
  </si>
  <si>
    <t xml:space="preserve">Implement login</t>
  </si>
  <si>
    <t xml:space="preserve">Valid/invalid/empty credentials</t>
  </si>
  <si>
    <t xml:space="preserve">Working login</t>
  </si>
  <si>
    <t xml:space="preserve">Sessions</t>
  </si>
  <si>
    <t xml:space="preserve">Session persistence + logout</t>
  </si>
  <si>
    <t xml:space="preserve">Refresh and logout tests</t>
  </si>
  <si>
    <t xml:space="preserve">Stable sessions</t>
  </si>
  <si>
    <t xml:space="preserve">Route protection</t>
  </si>
  <si>
    <t xml:space="preserve">Protect app routes</t>
  </si>
  <si>
    <t xml:space="preserve">Logged-out direct URL blocked</t>
  </si>
  <si>
    <t xml:space="preserve">Protected routes</t>
  </si>
  <si>
    <t xml:space="preserve">RBAC model</t>
  </si>
  <si>
    <t xml:space="preserve">Define role-permission matrix</t>
  </si>
  <si>
    <t xml:space="preserve">Matrix reviewed against product roles</t>
  </si>
  <si>
    <t xml:space="preserve">RBAC design</t>
  </si>
  <si>
    <t xml:space="preserve">RBAC enforcement</t>
  </si>
  <si>
    <t xml:space="preserve">Implement permission middleware</t>
  </si>
  <si>
    <t xml:space="preserve">Allowed/denied actions behave correctly</t>
  </si>
  <si>
    <t xml:space="preserve">Permission checks</t>
  </si>
  <si>
    <t xml:space="preserve">Security baseline</t>
  </si>
  <si>
    <t xml:space="preserve">Secrets/env/security headers baseline</t>
  </si>
  <si>
    <t xml:space="preserve">No secrets exposed client-side</t>
  </si>
  <si>
    <t xml:space="preserve">Organisation</t>
  </si>
  <si>
    <t xml:space="preserve">Departments</t>
  </si>
  <si>
    <t xml:space="preserve">Create department</t>
  </si>
  <si>
    <t xml:space="preserve">Required fields + duplicate prevention</t>
  </si>
  <si>
    <t xml:space="preserve">Department creation</t>
  </si>
  <si>
    <t xml:space="preserve">Department list/search</t>
  </si>
  <si>
    <t xml:space="preserve">Search + empty state</t>
  </si>
  <si>
    <t xml:space="preserve">Department list</t>
  </si>
  <si>
    <t xml:space="preserve">Edit/disable department</t>
  </si>
  <si>
    <t xml:space="preserve">Disabled dept cannot receive new work</t>
  </si>
  <si>
    <t xml:space="preserve">Department lifecycle</t>
  </si>
  <si>
    <t xml:space="preserve">Employees</t>
  </si>
  <si>
    <t xml:space="preserve">Create employee</t>
  </si>
  <si>
    <t xml:space="preserve">Validation + role/department assignment</t>
  </si>
  <si>
    <t xml:space="preserve">Employee creation</t>
  </si>
  <si>
    <t xml:space="preserve">Employee list/search/filter</t>
  </si>
  <si>
    <t xml:space="preserve">Active/inactive filters</t>
  </si>
  <si>
    <t xml:space="preserve">Employee directory</t>
  </si>
  <si>
    <t xml:space="preserve">Employee detail</t>
  </si>
  <si>
    <t xml:space="preserve">Role, department, manager visible</t>
  </si>
  <si>
    <t xml:space="preserve">Employee profile</t>
  </si>
  <si>
    <t xml:space="preserve">Edit employee</t>
  </si>
  <si>
    <t xml:space="preserve">Changes persist safely</t>
  </si>
  <si>
    <t xml:space="preserve">Employee editing</t>
  </si>
  <si>
    <t xml:space="preserve">Hierarchy</t>
  </si>
  <si>
    <t xml:space="preserve">Manager/reporting relationship</t>
  </si>
  <si>
    <t xml:space="preserve">Prevent invalid self-reporting</t>
  </si>
  <si>
    <t xml:space="preserve">Reporting structure</t>
  </si>
  <si>
    <t xml:space="preserve">Skills</t>
  </si>
  <si>
    <t xml:space="preserve">Employee skill master</t>
  </si>
  <si>
    <t xml:space="preserve">Create/edit skills</t>
  </si>
  <si>
    <t xml:space="preserve">Skill records</t>
  </si>
  <si>
    <t xml:space="preserve">Employee skill assignment</t>
  </si>
  <si>
    <t xml:space="preserve">Skill level/experience stored</t>
  </si>
  <si>
    <t xml:space="preserve">Skills matrix</t>
  </si>
  <si>
    <t xml:space="preserve">Availability</t>
  </si>
  <si>
    <t xml:space="preserve">Leave/availability model</t>
  </si>
  <si>
    <t xml:space="preserve">Unavailable employee rules enforced</t>
  </si>
  <si>
    <t xml:space="preserve">Availability baseline</t>
  </si>
  <si>
    <t xml:space="preserve">Client Management</t>
  </si>
  <si>
    <t xml:space="preserve">Client master</t>
  </si>
  <si>
    <t xml:space="preserve">Create client/group</t>
  </si>
  <si>
    <t xml:space="preserve">Required fields + duplicate handling</t>
  </si>
  <si>
    <t xml:space="preserve">Client creation</t>
  </si>
  <si>
    <t xml:space="preserve">Client list/search</t>
  </si>
  <si>
    <t xml:space="preserve">Search/filter/pagination</t>
  </si>
  <si>
    <t xml:space="preserve">Client directory</t>
  </si>
  <si>
    <t xml:space="preserve">Client detail</t>
  </si>
  <si>
    <t xml:space="preserve">Overview loads correctly</t>
  </si>
  <si>
    <t xml:space="preserve">Client profile</t>
  </si>
  <si>
    <t xml:space="preserve">Edit/activate/deactivate client</t>
  </si>
  <si>
    <t xml:space="preserve">Inactive-client rules enforced</t>
  </si>
  <si>
    <t xml:space="preserve">Client lifecycle</t>
  </si>
  <si>
    <t xml:space="preserve">Entities</t>
  </si>
  <si>
    <t xml:space="preserve">Create legal entity</t>
  </si>
  <si>
    <t xml:space="preserve">Entity linked to correct client</t>
  </si>
  <si>
    <t xml:space="preserve">Entity creation</t>
  </si>
  <si>
    <t xml:space="preserve">Entity list/detail</t>
  </si>
  <si>
    <t xml:space="preserve">Multiple entities display correctly</t>
  </si>
  <si>
    <t xml:space="preserve">Entity management</t>
  </si>
  <si>
    <t xml:space="preserve">Contacts</t>
  </si>
  <si>
    <t xml:space="preserve">Create/edit client contact</t>
  </si>
  <si>
    <t xml:space="preserve">Validation + duplicate handling</t>
  </si>
  <si>
    <t xml:space="preserve">Contact management</t>
  </si>
  <si>
    <t xml:space="preserve">Engagements</t>
  </si>
  <si>
    <t xml:space="preserve">Create client-service engagement</t>
  </si>
  <si>
    <t xml:space="preserve">Service linked to entity/client</t>
  </si>
  <si>
    <t xml:space="preserve">Engagement baseline</t>
  </si>
  <si>
    <t xml:space="preserve">Client context</t>
  </si>
  <si>
    <t xml:space="preserve">Client instructions/responsibility</t>
  </si>
  <si>
    <t xml:space="preserve">Instructions visible to authorised users</t>
  </si>
  <si>
    <t xml:space="preserve">Persistent client context</t>
  </si>
  <si>
    <t xml:space="preserve">Service Master</t>
  </si>
  <si>
    <t xml:space="preserve">Services</t>
  </si>
  <si>
    <t xml:space="preserve">Create service</t>
  </si>
  <si>
    <t xml:space="preserve">Required service metadata</t>
  </si>
  <si>
    <t xml:space="preserve">Service creation</t>
  </si>
  <si>
    <t xml:space="preserve">Service hierarchy/categories</t>
  </si>
  <si>
    <t xml:space="preserve">Parent-child hierarchy works</t>
  </si>
  <si>
    <t xml:space="preserve">Service catalogue</t>
  </si>
  <si>
    <t xml:space="preserve">Edit/disable service</t>
  </si>
  <si>
    <t xml:space="preserve">Disabled service cannot be newly assigned</t>
  </si>
  <si>
    <t xml:space="preserve">Service lifecycle</t>
  </si>
  <si>
    <t xml:space="preserve">Configuration</t>
  </si>
  <si>
    <t xml:space="preserve">Department + skill requirements</t>
  </si>
  <si>
    <t xml:space="preserve">Rules stored/retrieved</t>
  </si>
  <si>
    <t xml:space="preserve">Service configuration</t>
  </si>
  <si>
    <t xml:space="preserve">Standard checklist</t>
  </si>
  <si>
    <t xml:space="preserve">Template attaches to service</t>
  </si>
  <si>
    <t xml:space="preserve">Reusable checklist</t>
  </si>
  <si>
    <t xml:space="preserve">TAT/effort/reviewer defaults</t>
  </si>
  <si>
    <t xml:space="preserve">Defaults populate correctly</t>
  </si>
  <si>
    <t xml:space="preserve">Service defaults</t>
  </si>
  <si>
    <t xml:space="preserve">Recurring Work</t>
  </si>
  <si>
    <t xml:space="preserve">Recurring service configuration</t>
  </si>
  <si>
    <t xml:space="preserve">Generate test recurring instance</t>
  </si>
  <si>
    <t xml:space="preserve">Recurring baseline</t>
  </si>
  <si>
    <t xml:space="preserve">Task Engine</t>
  </si>
  <si>
    <t xml:space="preserve">Task creation</t>
  </si>
  <si>
    <t xml:space="preserve">Create manual task</t>
  </si>
  <si>
    <t xml:space="preserve">Client/entity/service validation</t>
  </si>
  <si>
    <t xml:space="preserve">Task created</t>
  </si>
  <si>
    <t xml:space="preserve">Task ID generation</t>
  </si>
  <si>
    <t xml:space="preserve">IDs unique/readable</t>
  </si>
  <si>
    <t xml:space="preserve">Task IDs</t>
  </si>
  <si>
    <t xml:space="preserve">Task list</t>
  </si>
  <si>
    <t xml:space="preserve">Task list + filters</t>
  </si>
  <si>
    <t xml:space="preserve">Status/assignee/client/priority/date filters</t>
  </si>
  <si>
    <t xml:space="preserve">Task queue</t>
  </si>
  <si>
    <t xml:space="preserve">Task detail</t>
  </si>
  <si>
    <t xml:space="preserve">Task detail workspace</t>
  </si>
  <si>
    <t xml:space="preserve">Core and related data load</t>
  </si>
  <si>
    <t xml:space="preserve">Task workspace</t>
  </si>
  <si>
    <t xml:space="preserve">Workflow</t>
  </si>
  <si>
    <t xml:space="preserve"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</si>
  <si>
    <t xml:space="preserve">Invalid transitions blocked Every valid transition is allowed; every invalid transition is blocked and logged.</t>
  </si>
  <si>
    <t xml:space="preserve">Deterministic workflow</t>
  </si>
  <si>
    <t xml:space="preserve">Assignment</t>
  </si>
  <si>
    <t xml:space="preserve">Assign employee</t>
  </si>
  <si>
    <t xml:space="preserve">Only eligible/active users selectable</t>
  </si>
  <si>
    <t xml:space="preserve">Reassign task</t>
  </si>
  <si>
    <t xml:space="preserve">History preserved + permissions</t>
  </si>
  <si>
    <t xml:space="preserve">Reassignment</t>
  </si>
  <si>
    <t xml:space="preserve">Dates</t>
  </si>
  <si>
    <t xml:space="preserve">Due dates/priorities</t>
  </si>
  <si>
    <t xml:space="preserve">Timezone/date validation</t>
  </si>
  <si>
    <t xml:space="preserve">Reliable deadlines</t>
  </si>
  <si>
    <t xml:space="preserve">Checklist</t>
  </si>
  <si>
    <t xml:space="preserve">Task checklist</t>
  </si>
  <si>
    <t xml:space="preserve">Complete/uncomplete persists</t>
  </si>
  <si>
    <t xml:space="preserve">Subtasks</t>
  </si>
  <si>
    <t xml:space="preserve">Parent-child behavior tested</t>
  </si>
  <si>
    <t xml:space="preserve">Subtask support</t>
  </si>
  <si>
    <t xml:space="preserve">Dependencies</t>
  </si>
  <si>
    <t xml:space="preserve">Task dependencies</t>
  </si>
  <si>
    <t xml:space="preserve">Blocked-task behavior</t>
  </si>
  <si>
    <t xml:space="preserve">Comments</t>
  </si>
  <si>
    <t xml:space="preserve">Internal comments</t>
  </si>
  <si>
    <t xml:space="preserve">Permissions + timestamps</t>
  </si>
  <si>
    <t xml:space="preserve">Attachments</t>
  </si>
  <si>
    <t xml:space="preserve">Task attachments</t>
  </si>
  <si>
    <t xml:space="preserve">Upload/download/access checks</t>
  </si>
  <si>
    <t xml:space="preserve">History</t>
  </si>
  <si>
    <t xml:space="preserve">Task activity timeline</t>
  </si>
  <si>
    <t xml:space="preserve">Important actions recorded</t>
  </si>
  <si>
    <t xml:space="preserve">Task history</t>
  </si>
  <si>
    <t xml:space="preserve">Bulk actions</t>
  </si>
  <si>
    <t xml:space="preserve">Bulk status/assignment</t>
  </si>
  <si>
    <t xml:space="preserve">Permission + partial failure handling</t>
  </si>
  <si>
    <t xml:space="preserve">Bulk operations</t>
  </si>
  <si>
    <t xml:space="preserve">Employee Workbench</t>
  </si>
  <si>
    <t xml:space="preserve">My Work</t>
  </si>
  <si>
    <t xml:space="preserve">My tasks dashboard</t>
  </si>
  <si>
    <t xml:space="preserve">Only authorised personal work visible</t>
  </si>
  <si>
    <t xml:space="preserve">Today/overdue/upcoming views</t>
  </si>
  <si>
    <t xml:space="preserve">Correct date buckets</t>
  </si>
  <si>
    <t xml:space="preserve">Work queues</t>
  </si>
  <si>
    <t xml:space="preserve">Execution</t>
  </si>
  <si>
    <t xml:space="preserve">Start task / working state</t>
  </si>
  <si>
    <t xml:space="preserve">Transition + timestamp</t>
  </si>
  <si>
    <t xml:space="preserve">Task start</t>
  </si>
  <si>
    <t xml:space="preserve">Update progress</t>
  </si>
  <si>
    <t xml:space="preserve">Progress persists</t>
  </si>
  <si>
    <t xml:space="preserve">Progress updates</t>
  </si>
  <si>
    <t xml:space="preserve">Submit for review</t>
  </si>
  <si>
    <t xml:space="preserve">Reviewer queue receives task</t>
  </si>
  <si>
    <t xml:space="preserve">Review submission</t>
  </si>
  <si>
    <t xml:space="preserve">Awaiting client information</t>
  </si>
  <si>
    <t xml:space="preserve">Task can enter awaiting-client state</t>
  </si>
  <si>
    <t xml:space="preserve">Dependency state</t>
  </si>
  <si>
    <t xml:space="preserve">Mobile</t>
  </si>
  <si>
    <t xml:space="preserve">Responsive task workflow</t>
  </si>
  <si>
    <t xml:space="preserve">Core actions usable on mobile</t>
  </si>
  <si>
    <t xml:space="preserve">Mobile smoke test</t>
  </si>
  <si>
    <t xml:space="preserve">Review &amp; Quality</t>
  </si>
  <si>
    <t xml:space="preserve">Reviewer queue</t>
  </si>
  <si>
    <t xml:space="preserve">Review queue</t>
  </si>
  <si>
    <t xml:space="preserve">Only assigned review items visible</t>
  </si>
  <si>
    <t xml:space="preserve">Review inbox</t>
  </si>
  <si>
    <t xml:space="preserve">Review</t>
  </si>
  <si>
    <t xml:space="preserve">Open task for review</t>
  </si>
  <si>
    <t xml:space="preserve">Files/checklist/history available</t>
  </si>
  <si>
    <t xml:space="preserve">Review workspace</t>
  </si>
  <si>
    <t xml:space="preserve">Approve task</t>
  </si>
  <si>
    <t xml:space="preserve">Workflow updates correctly</t>
  </si>
  <si>
    <t xml:space="preserve">Approval</t>
  </si>
  <si>
    <t xml:space="preserve">Return for correction</t>
  </si>
  <si>
    <t xml:space="preserve">Correction reason required</t>
  </si>
  <si>
    <t xml:space="preserve">Correction workflow</t>
  </si>
  <si>
    <t xml:space="preserve">Correction cycle</t>
  </si>
  <si>
    <t xml:space="preserve">Maker fixes and resubmits</t>
  </si>
  <si>
    <t xml:space="preserve">Closed-loop review</t>
  </si>
  <si>
    <t xml:space="preserve">Reviewer notes</t>
  </si>
  <si>
    <t xml:space="preserve">Notes visible with audit trail</t>
  </si>
  <si>
    <t xml:space="preserve">Review notes</t>
  </si>
  <si>
    <t xml:space="preserve">Escalation</t>
  </si>
  <si>
    <t xml:space="preserve">Second-level approval</t>
  </si>
  <si>
    <t xml:space="preserve">Configured services require higher approval</t>
  </si>
  <si>
    <t xml:space="preserve">Multi-level review</t>
  </si>
  <si>
    <t xml:space="preserve">Documents &amp; Knowledge</t>
  </si>
  <si>
    <t xml:space="preserve">Repository</t>
  </si>
  <si>
    <t xml:space="preserve">Document metadata model</t>
  </si>
  <si>
    <t xml:space="preserve">Client/task/document links work</t>
  </si>
  <si>
    <t xml:space="preserve">Document model</t>
  </si>
  <si>
    <t xml:space="preserve">Client document area</t>
  </si>
  <si>
    <t xml:space="preserve">Authorised upload/list/download</t>
  </si>
  <si>
    <t xml:space="preserve">Client documents</t>
  </si>
  <si>
    <t xml:space="preserve">Upload security — malware/virus scan on upload, encryption at rest, document type/size restrictions</t>
  </si>
  <si>
    <t xml:space="preserve">Infected/oversized/blocked file types are rejected with a clear reason</t>
  </si>
  <si>
    <t xml:space="preserve">Secure document intake</t>
  </si>
  <si>
    <t xml:space="preserve">Versioning</t>
  </si>
  <si>
    <t xml:space="preserve">Prior versions preserved</t>
  </si>
  <si>
    <t xml:space="preserve">Document versions</t>
  </si>
  <si>
    <t xml:space="preserve">Categories/tags</t>
  </si>
  <si>
    <t xml:space="preserve">Filter by category/type</t>
  </si>
  <si>
    <t xml:space="preserve">Document organisation</t>
  </si>
  <si>
    <t xml:space="preserve">Metadata search</t>
  </si>
  <si>
    <t xml:space="preserve">Search finds correct records</t>
  </si>
  <si>
    <t xml:space="preserve">Document search</t>
  </si>
  <si>
    <t xml:space="preserve">Knowledge</t>
  </si>
  <si>
    <t xml:space="preserve">Link communication to task/client</t>
  </si>
  <si>
    <t xml:space="preserve">Traceability works</t>
  </si>
  <si>
    <t xml:space="preserve">Linked knowledge</t>
  </si>
  <si>
    <t xml:space="preserve">Retention</t>
  </si>
  <si>
    <t xml:space="preserve">Archive rules Define a retention policy per document category (client input/working paper/final/etc.) with legal-hold exceptions.</t>
  </si>
  <si>
    <t xml:space="preserve">Archived items remain auditable</t>
  </si>
  <si>
    <t xml:space="preserve">Archive baseline</t>
  </si>
  <si>
    <t xml:space="preserve">Time &amp; Economics</t>
  </si>
  <si>
    <t xml:space="preserve">Time tracking</t>
  </si>
  <si>
    <t xml:space="preserve">Start/stop timer</t>
  </si>
  <si>
    <t xml:space="preserve">Duration calculated correctly</t>
  </si>
  <si>
    <t xml:space="preserve">Timer</t>
  </si>
  <si>
    <t xml:space="preserve">Manual time entry</t>
  </si>
  <si>
    <t xml:space="preserve">Validation + edit rules</t>
  </si>
  <si>
    <t xml:space="preserve">Manual time</t>
  </si>
  <si>
    <t xml:space="preserve">Time by employee/task</t>
  </si>
  <si>
    <t xml:space="preserve">Totals reconcile</t>
  </si>
  <si>
    <t xml:space="preserve">Time summaries</t>
  </si>
  <si>
    <t xml:space="preserve">Costing</t>
  </si>
  <si>
    <t xml:space="preserve">Employee cost rate</t>
  </si>
  <si>
    <t xml:space="preserve">Historical/effective rate model</t>
  </si>
  <si>
    <t xml:space="preserve">Cost-rate model</t>
  </si>
  <si>
    <t xml:space="preserve">Task cost calculation</t>
  </si>
  <si>
    <t xml:space="preserve">Time × applicable rate</t>
  </si>
  <si>
    <t xml:space="preserve">Task costing</t>
  </si>
  <si>
    <t xml:space="preserve">Client/service cost</t>
  </si>
  <si>
    <t xml:space="preserve">Aggregations reconcile</t>
  </si>
  <si>
    <t xml:space="preserve">Client/service costing</t>
  </si>
  <si>
    <t xml:space="preserve">Profitability</t>
  </si>
  <si>
    <t xml:space="preserve">Revenue/billing placeholder model</t>
  </si>
  <si>
    <t xml:space="preserve">Revenue linked to engagement</t>
  </si>
  <si>
    <t xml:space="preserve">Revenue baseline</t>
  </si>
  <si>
    <t xml:space="preserve">Client profitability</t>
  </si>
  <si>
    <t xml:space="preserve">Revenue - cost calculation verified</t>
  </si>
  <si>
    <t xml:space="preserve">Deadlines &amp; SLA</t>
  </si>
  <si>
    <t xml:space="preserve">Deadline engine</t>
  </si>
  <si>
    <t xml:space="preserve">Deadline rules Model three deadline types — statutory, client-committed, internal — each with its own safety-margin logic.</t>
  </si>
  <si>
    <t xml:space="preserve">Due dates calculate consistently</t>
  </si>
  <si>
    <t xml:space="preserve">SLA</t>
  </si>
  <si>
    <t xml:space="preserve">SLA configuration</t>
  </si>
  <si>
    <t xml:space="preserve">Service/client SLA rules stored</t>
  </si>
  <si>
    <t xml:space="preserve">SLA config</t>
  </si>
  <si>
    <t xml:space="preserve">Escalations</t>
  </si>
  <si>
    <t xml:space="preserve">Overdue detection</t>
  </si>
  <si>
    <t xml:space="preserve">Overdue tasks match deadline data</t>
  </si>
  <si>
    <t xml:space="preserve">Notifications</t>
  </si>
  <si>
    <t xml:space="preserve">In-app notifications</t>
  </si>
  <si>
    <t xml:space="preserve">Assignment/deadline/review alerts</t>
  </si>
  <si>
    <t xml:space="preserve">Reminders</t>
  </si>
  <si>
    <t xml:space="preserve">Reminder rules</t>
  </si>
  <si>
    <t xml:space="preserve">Upcoming/overdue reminders trigger correctly</t>
  </si>
  <si>
    <t xml:space="preserve">Manager escalation</t>
  </si>
  <si>
    <t xml:space="preserve">Configured threshold triggers escalation</t>
  </si>
  <si>
    <t xml:space="preserve">Communication &amp; AI Intake</t>
  </si>
  <si>
    <t xml:space="preserve">Governance</t>
  </si>
  <si>
    <t xml:space="preserve">AI provider governance — secrets/keys, per-request token/cost budget, rate limits, and a defined fallback (route to manual queue) if the AI service is slow or unavailable</t>
  </si>
  <si>
    <t xml:space="preserve">A simulated AI outage still lets a message reach the manual queue; a cost-budget alert fires at threshold</t>
  </si>
  <si>
    <t xml:space="preserve">AI governance baseline</t>
  </si>
  <si>
    <t xml:space="preserve">Communication</t>
  </si>
  <si>
    <t xml:space="preserve">Communication data model</t>
  </si>
  <si>
    <t xml:space="preserve">Message/channel/sender/time/attachment stored</t>
  </si>
  <si>
    <t xml:space="preserve">Communication records</t>
  </si>
  <si>
    <t xml:space="preserve">Inbox</t>
  </si>
  <si>
    <t xml:space="preserve">Internal communication inbox</t>
  </si>
  <si>
    <t xml:space="preserve">Messages searchable + traceable</t>
  </si>
  <si>
    <t xml:space="preserve">Communication inbox</t>
  </si>
  <si>
    <t xml:space="preserve">WhatsApp</t>
  </si>
  <si>
    <t xml:space="preserve">Integration adapter boundary</t>
  </si>
  <si>
    <t xml:space="preserve">Provider contract isolated</t>
  </si>
  <si>
    <t xml:space="preserve">WhatsApp adapter</t>
  </si>
  <si>
    <t xml:space="preserve">AI intake</t>
  </si>
  <si>
    <t xml:space="preserve">Structured extraction schema</t>
  </si>
  <si>
    <t xml:space="preserve">AI output validates against schema</t>
  </si>
  <si>
    <t xml:space="preserve">AI output contract</t>
  </si>
  <si>
    <t xml:space="preserve">Client identification</t>
  </si>
  <si>
    <t xml:space="preserve">Known client/entity matching tested</t>
  </si>
  <si>
    <t xml:space="preserve">Client matching</t>
  </si>
  <si>
    <t xml:space="preserve">Service/department classification</t>
  </si>
  <si>
    <t xml:space="preserve">Maps to service master</t>
  </si>
  <si>
    <t xml:space="preserve">Classification</t>
  </si>
  <si>
    <t xml:space="preserve">Deadline/priority extraction</t>
  </si>
  <si>
    <t xml:space="preserve">Dates/urgency validated</t>
  </si>
  <si>
    <t xml:space="preserve">Deadline extraction</t>
  </si>
  <si>
    <t xml:space="preserve">Attachment understanding</t>
  </si>
  <si>
    <t xml:space="preserve">Attachments linked to proposed request</t>
  </si>
  <si>
    <t xml:space="preserve">Attachment intake</t>
  </si>
  <si>
    <t xml:space="preserve">Voice-note intake — transcribe WhatsApp voice notes into text before AI extraction</t>
  </si>
  <si>
    <t xml:space="preserve">A sample voice note produces a usable transcript and correct downstream extraction</t>
  </si>
  <si>
    <t xml:space="preserve">Voice intake</t>
  </si>
  <si>
    <t xml:space="preserve">Confidence scoring</t>
  </si>
  <si>
    <t xml:space="preserve">Confidence stored with AI event</t>
  </si>
  <si>
    <t xml:space="preserve">Confidence model</t>
  </si>
  <si>
    <t xml:space="preserve">Human-in-loop</t>
  </si>
  <si>
    <t xml:space="preserve">Confirmation queue</t>
  </si>
  <si>
    <t xml:space="preserve">Medium/low confidence requires review</t>
  </si>
  <si>
    <t xml:space="preserve">Approval queue</t>
  </si>
  <si>
    <t xml:space="preserve">Task generation</t>
  </si>
  <si>
    <t xml:space="preserve">AI result → proposed task</t>
  </si>
  <si>
    <t xml:space="preserve">Malformed output cannot create task</t>
  </si>
  <si>
    <t xml:space="preserve">AI → task</t>
  </si>
  <si>
    <t xml:space="preserve">Internal AI task creation — employee types a natural-language instruction and it runs through the same AI-extraction → proposed-task flow as WhatsApp/email</t>
  </si>
  <si>
    <t xml:space="preserve">A typed instruction produces the same structured task fields as message intake</t>
  </si>
  <si>
    <t xml:space="preserve">Internal AI intake</t>
  </si>
  <si>
    <t xml:space="preserve">Safety</t>
  </si>
  <si>
    <t xml:space="preserve">Deterministic AI guardrails</t>
  </si>
  <si>
    <t xml:space="preserve">AI cannot bypass permissions/status/cost rules</t>
  </si>
  <si>
    <t xml:space="preserve">Guardrails</t>
  </si>
  <si>
    <t xml:space="preserve">Allocation Engine</t>
  </si>
  <si>
    <t xml:space="preserve">Capacity</t>
  </si>
  <si>
    <t xml:space="preserve">Employee capacity model</t>
  </si>
  <si>
    <t xml:space="preserve">Capacity uses availability + planned effort</t>
  </si>
  <si>
    <t xml:space="preserve">Capacity model</t>
  </si>
  <si>
    <t xml:space="preserve">Eligibility</t>
  </si>
  <si>
    <t xml:space="preserve">Eligibility rules</t>
  </si>
  <si>
    <t xml:space="preserve">Department/skill/role constraints</t>
  </si>
  <si>
    <t xml:space="preserve">Eligible pool</t>
  </si>
  <si>
    <t xml:space="preserve">Scoring</t>
  </si>
  <si>
    <t xml:space="preserve">Allocation scoring</t>
  </si>
  <si>
    <t xml:space="preserve">Factors are deterministic + explainable</t>
  </si>
  <si>
    <t xml:space="preserve">Allocation score</t>
  </si>
  <si>
    <t xml:space="preserve">Workload balancing</t>
  </si>
  <si>
    <t xml:space="preserve">Capacity matters more than raw task count</t>
  </si>
  <si>
    <t xml:space="preserve">Capacity-aware allocation</t>
  </si>
  <si>
    <t xml:space="preserve">Deadline/priority weighting</t>
  </si>
  <si>
    <t xml:space="preserve">Urgent work affects recommendation</t>
  </si>
  <si>
    <t xml:space="preserve">Priority weighting</t>
  </si>
  <si>
    <t xml:space="preserve">Experience/client responsibility</t>
  </si>
  <si>
    <t xml:space="preserve">Relevant context can influence recommendation</t>
  </si>
  <si>
    <t xml:space="preserve">Context weighting</t>
  </si>
  <si>
    <t xml:space="preserve">Recommendation</t>
  </si>
  <si>
    <t xml:space="preserve">Allocation recommendation UI</t>
  </si>
  <si>
    <t xml:space="preserve">Manager sees reasons</t>
  </si>
  <si>
    <t xml:space="preserve">Controlled automatic assignment</t>
  </si>
  <si>
    <t xml:space="preserve">Only approved task classes auto-assign</t>
  </si>
  <si>
    <t xml:space="preserve">Controlled automation</t>
  </si>
  <si>
    <t xml:space="preserve">Override</t>
  </si>
  <si>
    <t xml:space="preserve">Human override</t>
  </si>
  <si>
    <t xml:space="preserve">Override reason is logged</t>
  </si>
  <si>
    <t xml:space="preserve">Reallocation</t>
  </si>
  <si>
    <t xml:space="preserve">Redistribution recommendation</t>
  </si>
  <si>
    <t xml:space="preserve">Overloaded work can be suggested for redistribution</t>
  </si>
  <si>
    <t xml:space="preserve">Management Command Centre</t>
  </si>
  <si>
    <t xml:space="preserve">Dashboard</t>
  </si>
  <si>
    <t xml:space="preserve">Organisation overview</t>
  </si>
  <si>
    <t xml:space="preserve">Counts reconcile with task data</t>
  </si>
  <si>
    <t xml:space="preserve">Executive overview</t>
  </si>
  <si>
    <t xml:space="preserve">Department workload</t>
  </si>
  <si>
    <t xml:space="preserve">Department totals reconcile</t>
  </si>
  <si>
    <t xml:space="preserve">Department view</t>
  </si>
  <si>
    <t xml:space="preserve">Employee workload/capacity</t>
  </si>
  <si>
    <t xml:space="preserve">Metrics reconcile</t>
  </si>
  <si>
    <t xml:space="preserve">Capacity view</t>
  </si>
  <si>
    <t xml:space="preserve">Overdue and at-risk</t>
  </si>
  <si>
    <t xml:space="preserve">Risk list matches deadline engine</t>
  </si>
  <si>
    <t xml:space="preserve">Risk queue</t>
  </si>
  <si>
    <t xml:space="preserve">Review queue metrics</t>
  </si>
  <si>
    <t xml:space="preserve">Review metrics</t>
  </si>
  <si>
    <t xml:space="preserve">Analytics</t>
  </si>
  <si>
    <t xml:space="preserve">Turnaround time</t>
  </si>
  <si>
    <t xml:space="preserve">Calculated from lifecycle timestamps</t>
  </si>
  <si>
    <t xml:space="preserve">TAT metric</t>
  </si>
  <si>
    <t xml:space="preserve">Utilisation</t>
  </si>
  <si>
    <t xml:space="preserve">Productive/available time calculation</t>
  </si>
  <si>
    <t xml:space="preserve">Utilisation metric</t>
  </si>
  <si>
    <t xml:space="preserve">Rework</t>
  </si>
  <si>
    <t xml:space="preserve">Correction cycles/time measured</t>
  </si>
  <si>
    <t xml:space="preserve">Rework metric</t>
  </si>
  <si>
    <t xml:space="preserve">Delay-cause attribution — tag each delay as employee-caused, client-caused, manager/reviewer-caused, or dependency-caused; roll up into analytics</t>
  </si>
  <si>
    <t xml:space="preserve">Three seeded delay scenarios each show the correct attributed cause</t>
  </si>
  <si>
    <t xml:space="preserve">Delay-cause analytics</t>
  </si>
  <si>
    <t xml:space="preserve">Client/service economics</t>
  </si>
  <si>
    <t xml:space="preserve">Cost/profitability views reconcile</t>
  </si>
  <si>
    <t xml:space="preserve">Economics dashboard</t>
  </si>
  <si>
    <t xml:space="preserve">Alerts</t>
  </si>
  <si>
    <t xml:space="preserve">Exception dashboard</t>
  </si>
  <si>
    <t xml:space="preserve">Only actionable exceptions shown</t>
  </si>
  <si>
    <t xml:space="preserve">Exception centre</t>
  </si>
  <si>
    <t xml:space="preserve">Audit &amp; Security</t>
  </si>
  <si>
    <t xml:space="preserve">Audit log</t>
  </si>
  <si>
    <t xml:space="preserve">Central audit event model</t>
  </si>
  <si>
    <t xml:space="preserve">Create/update/status/assignment/review actions logged</t>
  </si>
  <si>
    <t xml:space="preserve">Audit model</t>
  </si>
  <si>
    <t xml:space="preserve">Audit viewer</t>
  </si>
  <si>
    <t xml:space="preserve">Authorised filtering works</t>
  </si>
  <si>
    <t xml:space="preserve">Access</t>
  </si>
  <si>
    <t xml:space="preserve">Object-level access checks</t>
  </si>
  <si>
    <t xml:space="preserve">Unauthorised data is blocked</t>
  </si>
  <si>
    <t xml:space="preserve">Access tests</t>
  </si>
  <si>
    <t xml:space="preserve">Security</t>
  </si>
  <si>
    <t xml:space="preserve">Sensitive action logging</t>
  </si>
  <si>
    <t xml:space="preserve">Permission changes/overrides logged</t>
  </si>
  <si>
    <t xml:space="preserve">Security audit</t>
  </si>
  <si>
    <t xml:space="preserve">Reliability</t>
  </si>
  <si>
    <t xml:space="preserve">Error handling + retries</t>
  </si>
  <si>
    <t xml:space="preserve">Transient failures don't duplicate work</t>
  </si>
  <si>
    <t xml:space="preserve">Testing</t>
  </si>
  <si>
    <t xml:space="preserve">Full permission regression</t>
  </si>
  <si>
    <t xml:space="preserve">Role matrix passes</t>
  </si>
  <si>
    <t xml:space="preserve">Security regression</t>
  </si>
  <si>
    <t xml:space="preserve">AI Management Intelligence</t>
  </si>
  <si>
    <t xml:space="preserve">Data layer</t>
  </si>
  <si>
    <t xml:space="preserve">Analytics-ready operational views</t>
  </si>
  <si>
    <t xml:space="preserve">Metrics query consistently</t>
  </si>
  <si>
    <t xml:space="preserve">Analytics data layer</t>
  </si>
  <si>
    <t xml:space="preserve">AI assistant</t>
  </si>
  <si>
    <t xml:space="preserve">Natural-language management query</t>
  </si>
  <si>
    <t xml:space="preserve">Answers grounded in system data</t>
  </si>
  <si>
    <t xml:space="preserve">Management Q&amp;A</t>
  </si>
  <si>
    <t xml:space="preserve">Overload detection explanation</t>
  </si>
  <si>
    <t xml:space="preserve">Factors shown from operational data</t>
  </si>
  <si>
    <t xml:space="preserve">Overload insight</t>
  </si>
  <si>
    <t xml:space="preserve">Deadline-risk explanation</t>
  </si>
  <si>
    <t xml:space="preserve">Risk based on deterministic data</t>
  </si>
  <si>
    <t xml:space="preserve">Risk insight</t>
  </si>
  <si>
    <t xml:space="preserve">Client profitability insight</t>
  </si>
  <si>
    <t xml:space="preserve">Uses actual cost/revenue data</t>
  </si>
  <si>
    <t xml:space="preserve">Profitability insight</t>
  </si>
  <si>
    <t xml:space="preserve">Redistribution suggestions</t>
  </si>
  <si>
    <t xml:space="preserve">Links to capacity data</t>
  </si>
  <si>
    <t xml:space="preserve">Reallocation insight</t>
  </si>
  <si>
    <t xml:space="preserve">Read-only management AI</t>
  </si>
  <si>
    <t xml:space="preserve">AI cannot mutate records directly</t>
  </si>
  <si>
    <t xml:space="preserve">AI guardrails</t>
  </si>
  <si>
    <t xml:space="preserve">AI Execution Agents</t>
  </si>
  <si>
    <t xml:space="preserve">Agent framework</t>
  </si>
  <si>
    <t xml:space="preserve">Define agent/tool contract</t>
  </si>
  <si>
    <t xml:space="preserve">Tool permissions documented</t>
  </si>
  <si>
    <t xml:space="preserve">Document agent</t>
  </si>
  <si>
    <t xml:space="preserve">Document extraction agent</t>
  </si>
  <si>
    <t xml:space="preserve">Known test docs extract correctly</t>
  </si>
  <si>
    <t xml:space="preserve">Extraction agent</t>
  </si>
  <si>
    <t xml:space="preserve">Reconciliation agent</t>
  </si>
  <si>
    <t xml:space="preserve">Prototype one narrow reconciliation workflow</t>
  </si>
  <si>
    <t xml:space="preserve">Compare against known outputs</t>
  </si>
  <si>
    <t xml:space="preserve">Reconciliation prototype</t>
  </si>
  <si>
    <t xml:space="preserve">Human review</t>
  </si>
  <si>
    <t xml:space="preserve">Agent output → review queue</t>
  </si>
  <si>
    <t xml:space="preserve">No finalisation without approval</t>
  </si>
  <si>
    <t xml:space="preserve">Agent review</t>
  </si>
  <si>
    <t xml:space="preserve">Audit</t>
  </si>
  <si>
    <t xml:space="preserve">Agent action logging</t>
  </si>
  <si>
    <t xml:space="preserve">Tool calls/outputs auditable</t>
  </si>
  <si>
    <t xml:space="preserve">Agent audit</t>
  </si>
  <si>
    <t xml:space="preserve">Failure handling</t>
  </si>
  <si>
    <t xml:space="preserve">Agent timeout/rollback handling</t>
  </si>
  <si>
    <t xml:space="preserve">Failed runs don't corrupt task state</t>
  </si>
  <si>
    <t xml:space="preserve">Agent reliability</t>
  </si>
  <si>
    <t xml:space="preserve">Client Portal &amp; Delivery</t>
  </si>
  <si>
    <t xml:space="preserve">Portal</t>
  </si>
  <si>
    <t xml:space="preserve">Client authentication</t>
  </si>
  <si>
    <t xml:space="preserve">Client sees only own data</t>
  </si>
  <si>
    <t xml:space="preserve">Client auth</t>
  </si>
  <si>
    <t xml:space="preserve">Client request submission</t>
  </si>
  <si>
    <t xml:space="preserve">Request creates tracked intake</t>
  </si>
  <si>
    <t xml:space="preserve">Client intake</t>
  </si>
  <si>
    <t xml:space="preserve">Client document upload</t>
  </si>
  <si>
    <t xml:space="preserve">Upload links to correct request</t>
  </si>
  <si>
    <t xml:space="preserve">Client upload</t>
  </si>
  <si>
    <t xml:space="preserve">Pending information view</t>
  </si>
  <si>
    <t xml:space="preserve">Outstanding requests visible</t>
  </si>
  <si>
    <t xml:space="preserve">Pending docs</t>
  </si>
  <si>
    <t xml:space="preserve">Delivery</t>
  </si>
  <si>
    <t xml:space="preserve">Deliverable area</t>
  </si>
  <si>
    <t xml:space="preserve">Approved deliverables visible</t>
  </si>
  <si>
    <t xml:space="preserve">Client status notifications</t>
  </si>
  <si>
    <t xml:space="preserve">Configured events notify client</t>
  </si>
  <si>
    <t xml:space="preserve">Client notifications</t>
  </si>
  <si>
    <t xml:space="preserve">Integrations &amp; Production</t>
  </si>
  <si>
    <t xml:space="preserve">Email</t>
  </si>
  <si>
    <t xml:space="preserve">Email intake adapter</t>
  </si>
  <si>
    <t xml:space="preserve">Email becomes traceable intake</t>
  </si>
  <si>
    <t xml:space="preserve">Email intake</t>
  </si>
  <si>
    <t xml:space="preserve">WhatsApp outbound adapter</t>
  </si>
  <si>
    <t xml:space="preserve">Approved messages audited</t>
  </si>
  <si>
    <t xml:space="preserve">Outbound messaging</t>
  </si>
  <si>
    <t xml:space="preserve">Files</t>
  </si>
  <si>
    <t xml:space="preserve">Object storage</t>
  </si>
  <si>
    <t xml:space="preserve">Large files stored safely</t>
  </si>
  <si>
    <t xml:space="preserve">Production storage</t>
  </si>
  <si>
    <t xml:space="preserve">Search</t>
  </si>
  <si>
    <t xml:space="preserve">Global search</t>
  </si>
  <si>
    <t xml:space="preserve">Clients/tasks/docs/comms searchable</t>
  </si>
  <si>
    <t xml:space="preserve">Performance</t>
  </si>
  <si>
    <t xml:space="preserve">Indexes/query review</t>
  </si>
  <si>
    <t xml:space="preserve">Key pages meet target response times</t>
  </si>
  <si>
    <t xml:space="preserve">Performance baseline</t>
  </si>
  <si>
    <t xml:space="preserve">Seeded end-to-end demo scenario</t>
  </si>
  <si>
    <t xml:space="preserve">Complete request lifecycle works</t>
  </si>
  <si>
    <t xml:space="preserve">E2E demo</t>
  </si>
  <si>
    <t xml:space="preserve">Full regression pass</t>
  </si>
  <si>
    <t xml:space="preserve">Critical flows pass cleanly</t>
  </si>
  <si>
    <t xml:space="preserve">Regression</t>
  </si>
  <si>
    <t xml:space="preserve">Deployment</t>
  </si>
  <si>
    <t xml:space="preserve">Staging deployment</t>
  </si>
  <si>
    <t xml:space="preserve">Staging is reproducible</t>
  </si>
  <si>
    <t xml:space="preserve">Staging</t>
  </si>
  <si>
    <t xml:space="preserve">Production readiness</t>
  </si>
  <si>
    <t xml:space="preserve">Secrets/migrations/backups/monitoring verified</t>
  </si>
  <si>
    <t xml:space="preserve">Production checklist</t>
  </si>
  <si>
    <t xml:space="preserve">Rollout</t>
  </si>
  <si>
    <t xml:space="preserve">Pilot with one department</t>
  </si>
  <si>
    <t xml:space="preserve">Real usage issues captured</t>
  </si>
  <si>
    <t xml:space="preserve">Pilot</t>
  </si>
  <si>
    <t xml:space="preserve">Fix pilot blockers</t>
  </si>
  <si>
    <t xml:space="preserve">Critical issues resolved</t>
  </si>
  <si>
    <t xml:space="preserve">Pilot fixes</t>
  </si>
  <si>
    <t xml:space="preserve">Final release</t>
  </si>
  <si>
    <t xml:space="preserve">Release notes + known limitations</t>
  </si>
  <si>
    <t xml:space="preserve">Production release</t>
  </si>
  <si>
    <t xml:space="preserve">Planned Days</t>
  </si>
  <si>
    <t xml:space="preserve">Completed Days</t>
  </si>
  <si>
    <t xml:space="preserve">Days</t>
  </si>
  <si>
    <t xml:space="preserve">Main Phase(s)</t>
  </si>
  <si>
    <t xml:space="preserve">What Should Be Working</t>
  </si>
  <si>
    <t xml:space="preserve">Review Questions</t>
  </si>
  <si>
    <t xml:space="preserve">1-5</t>
  </si>
  <si>
    <t xml:space="preserve">Did every feature built this week pass? What is blocked? What needs refactoring before moving on?</t>
  </si>
  <si>
    <t xml:space="preserve">6-10</t>
  </si>
  <si>
    <t xml:space="preserve">11-15</t>
  </si>
  <si>
    <t xml:space="preserve">16-20</t>
  </si>
  <si>
    <t xml:space="preserve">Auth &amp; Security + Organisation</t>
  </si>
  <si>
    <t xml:space="preserve">21-25</t>
  </si>
  <si>
    <t xml:space="preserve">26-30</t>
  </si>
  <si>
    <t xml:space="preserve">Organisation + Client Management</t>
  </si>
  <si>
    <t xml:space="preserve">31-35</t>
  </si>
  <si>
    <t xml:space="preserve">36-40</t>
  </si>
  <si>
    <t xml:space="preserve">Client Management + Service Master</t>
  </si>
  <si>
    <t xml:space="preserve">41-45</t>
  </si>
  <si>
    <t xml:space="preserve">Service Master + Task Engine</t>
  </si>
  <si>
    <t xml:space="preserve">46-50</t>
  </si>
  <si>
    <t xml:space="preserve">51-55</t>
  </si>
  <si>
    <t xml:space="preserve">56-60</t>
  </si>
  <si>
    <t xml:space="preserve">Task Engine + Employee Workbench</t>
  </si>
  <si>
    <t xml:space="preserve">61-65</t>
  </si>
  <si>
    <t xml:space="preserve">66-70</t>
  </si>
  <si>
    <t xml:space="preserve">71-75</t>
  </si>
  <si>
    <t xml:space="preserve">Review &amp; Quality + Documents &amp; Knowledge</t>
  </si>
  <si>
    <t xml:space="preserve">76-80</t>
  </si>
  <si>
    <t xml:space="preserve">81-85</t>
  </si>
  <si>
    <t xml:space="preserve">86-90</t>
  </si>
  <si>
    <t xml:space="preserve">Time &amp; Economics + Deadlines &amp; SLA</t>
  </si>
  <si>
    <t xml:space="preserve">91-95</t>
  </si>
  <si>
    <t xml:space="preserve">Deadlines &amp; SLA + Communication &amp; AI Intake</t>
  </si>
  <si>
    <t xml:space="preserve">96-100</t>
  </si>
  <si>
    <t xml:space="preserve">101-105</t>
  </si>
  <si>
    <t xml:space="preserve">106-110</t>
  </si>
  <si>
    <t xml:space="preserve">Communication &amp; AI Intake + Allocation Engine</t>
  </si>
  <si>
    <t xml:space="preserve">111-115</t>
  </si>
  <si>
    <t xml:space="preserve">116-120</t>
  </si>
  <si>
    <t xml:space="preserve">Allocation Engine + Management Command Centre</t>
  </si>
  <si>
    <t xml:space="preserve">121-125</t>
  </si>
  <si>
    <t xml:space="preserve">126-130</t>
  </si>
  <si>
    <t xml:space="preserve">131-135</t>
  </si>
  <si>
    <t xml:space="preserve">136-140</t>
  </si>
  <si>
    <t xml:space="preserve">Audit &amp; Security + AI Management Intelligence</t>
  </si>
  <si>
    <t xml:space="preserve">141-145</t>
  </si>
  <si>
    <t xml:space="preserve">AI Management Intelligence + AI Execution Agents</t>
  </si>
  <si>
    <t xml:space="preserve">146-150</t>
  </si>
  <si>
    <t xml:space="preserve">AI Execution Agents + Client Portal &amp; Delivery</t>
  </si>
  <si>
    <t xml:space="preserve">151-155</t>
  </si>
  <si>
    <t xml:space="preserve">156-160</t>
  </si>
  <si>
    <t xml:space="preserve">161-165</t>
  </si>
  <si>
    <t xml:space="preserve">166-167</t>
  </si>
  <si>
    <t xml:space="preserve">Release</t>
  </si>
  <si>
    <t xml:space="preserve">Start Day</t>
  </si>
  <si>
    <t xml:space="preserve">End Day</t>
  </si>
  <si>
    <t xml:space="preserve">Exit Criteria</t>
  </si>
  <si>
    <t xml:space="preserve">R0 Foundation</t>
  </si>
  <si>
    <t xml:space="preserve">Architecture, database, testing/CI, shell, auth and RBAC baseline works.</t>
  </si>
  <si>
    <t xml:space="preserve">R1 Core Operations</t>
  </si>
  <si>
    <t xml:space="preserve">Organisation, clients, services and the full task engine (incl. complete status model) work end-to-end.</t>
  </si>
  <si>
    <t xml:space="preserve">R2 Execution</t>
  </si>
  <si>
    <t xml:space="preserve">Employee workbench, review and secure, versioned documents work.</t>
  </si>
  <si>
    <t xml:space="preserve">R3 Time &amp; Deadlines</t>
  </si>
  <si>
    <t xml:space="preserve">Time tracking, costing, and the three deadline types with safety-margin logic work.</t>
  </si>
  <si>
    <t xml:space="preserve">R4 AI Intake</t>
  </si>
  <si>
    <t xml:space="preserve">Communication (incl. voice notes and internal typed instructions) → AI extraction → human confirmation → task works safely, with AI cost/fallback governance in place.</t>
  </si>
  <si>
    <t xml:space="preserve">R5 Intelligent Allocation</t>
  </si>
  <si>
    <t xml:space="preserve">Capacity-aware allocation recommendations and controlled automation work.</t>
  </si>
  <si>
    <t xml:space="preserve">R6 Management &amp; Audit</t>
  </si>
  <si>
    <t xml:space="preserve">Dashboards, delay-cause analytics, exception alerts, full audit trail and permission regression all work.</t>
  </si>
  <si>
    <t xml:space="preserve">R7 AI Management</t>
  </si>
  <si>
    <t xml:space="preserve">Management questions and operational insights are grounded in system data, read-only.</t>
  </si>
  <si>
    <t xml:space="preserve">R8 Agents + Portal + Production</t>
  </si>
  <si>
    <t xml:space="preserve">Narrow execution agent, client portal, integrations and production rollout are demonstrable.</t>
  </si>
  <si>
    <t xml:space="preserve">How to use this workbook</t>
  </si>
  <si>
    <t xml:space="preserve">Daily rule</t>
  </si>
  <si>
    <t xml:space="preserve">~60 minutes: 10 min understand → 35 min build → 10 min test → 5 min commit/notes.</t>
  </si>
  <si>
    <t xml:space="preserve">Golden rule</t>
  </si>
  <si>
    <t xml:space="preserve">Do NOT start the next feature until the current feature passes its acceptance test.</t>
  </si>
  <si>
    <t xml:space="preserve">At minimum: happy path, validation/error case, permission/access case where applicable, and empty state.</t>
  </si>
  <si>
    <t xml:space="preserve">Git</t>
  </si>
  <si>
    <t xml:space="preserve">Prefer one small commit per completed feature, e.g. feat: add client creation.</t>
  </si>
  <si>
    <t xml:space="preserve">Use the dropdown. Mark Blocked rather than silently carrying unfinished work.</t>
  </si>
  <si>
    <t xml:space="preserve">Weekly review</t>
  </si>
  <si>
    <t xml:space="preserve">At the end of each week, decide: proceed, spend another day stabilising, or change scope.</t>
  </si>
  <si>
    <t xml:space="preserve">Timeline</t>
  </si>
  <si>
    <t xml:space="preserve">150 days × ~1 hour/day = roughly 5 months if done daily; longer if you skip days. This is deliberately end-to-end and conservative.</t>
  </si>
  <si>
    <t xml:space="preserve">Architecture principle</t>
  </si>
  <si>
    <t xml:space="preserve">Deterministic code remains the source of truth for permissions, workflow, deadlines, cost, audit and records. AI assists rather than controls the system of record.</t>
  </si>
  <si>
    <t xml:space="preserve">Metric</t>
  </si>
  <si>
    <t xml:space="preserve">Value</t>
  </si>
  <si>
    <t xml:space="preserve">Total planned days</t>
  </si>
  <si>
    <t xml:space="preserve">Days done</t>
  </si>
  <si>
    <t xml:space="preserve">Days in progress</t>
  </si>
  <si>
    <t xml:space="preserve">Days blocked</t>
  </si>
  <si>
    <t xml:space="preserve">Completion %</t>
  </si>
  <si>
    <t xml:space="preserve">PRD Requirement</t>
  </si>
  <si>
    <t xml:space="preserve">Current Roadmap</t>
  </si>
  <si>
    <t xml:space="preserve">Coverage</t>
  </si>
  <si>
    <t xml:space="preserve">What to Add / Change</t>
  </si>
  <si>
    <t xml:space="preserve">Product vision: Communication → AI → Tasks → Employees → Review → Delivery → Documents → Costing → Performance → Management Intelligence</t>
  </si>
  <si>
    <t xml:space="preserve">Covered across AI Intake, Task Engine, Workbench, Review, Documents, Economics, Dashboards and AI.</t>
  </si>
  <si>
    <t xml:space="preserve">Covered</t>
  </si>
  <si>
    <t xml:space="preserve">Keep the end-to-end dependency order.</t>
  </si>
  <si>
    <t xml:space="preserve">Capture all material work from WhatsApp, email, verbal/manual instructions, notebooks/personal folders</t>
  </si>
  <si>
    <t xml:space="preserve">Manual task creation + WhatsApp/email adapters are covered.</t>
  </si>
  <si>
    <t xml:space="preserve">Partial</t>
  </si>
  <si>
    <t xml:space="preserve">Add explicit internal/voice/manual intake and an organisational policy that material work must become a task.</t>
  </si>
  <si>
    <t xml:space="preserve">Multiple configurable departments</t>
  </si>
  <si>
    <t xml:space="preserve">Departments are covered.</t>
  </si>
  <si>
    <t xml:space="preserve">Keep department configuration non-hard-coded.</t>
  </si>
  <si>
    <t xml:space="preserve">Super Admin / Management / Department Head / Manager-Reviewer / Employee</t>
  </si>
  <si>
    <t xml:space="preserve">RBAC + organisation roles are covered.</t>
  </si>
  <si>
    <t xml:space="preserve">Ensure each role's exact PRD permissions are acceptance-tested.</t>
  </si>
  <si>
    <t xml:space="preserve">Future Client User / Portal</t>
  </si>
  <si>
    <t xml:space="preserve">Client portal is covered late in roadmap.</t>
  </si>
  <si>
    <t xml:space="preserve">Add invoice visibility and billing to portal scope.</t>
  </si>
  <si>
    <t xml:space="preserve">Client master with legal entities, contacts, account manager, services, engagement, billing, instructions, history</t>
  </si>
  <si>
    <t xml:space="preserve">Clients/entities/contacts/engagement/context are covered.</t>
  </si>
  <si>
    <t xml:space="preserve">Add explicit account manager, billing structure, service history and client analytics to acceptance tests.</t>
  </si>
  <si>
    <t xml:space="preserve">Service Master with department, skill, checklist, TAT, effort, reviewer, recurring nature, documents</t>
  </si>
  <si>
    <t xml:space="preserve">Covered.</t>
  </si>
  <si>
    <t xml:space="preserve">Add required-document configuration explicitly.</t>
  </si>
  <si>
    <t xml:space="preserve">WhatsApp: text, attachments, voice notes, metadata</t>
  </si>
  <si>
    <t xml:space="preserve">WhatsApp adapter + attachment understanding covered.</t>
  </si>
  <si>
    <t xml:space="preserve">Explicitly add voice-note ingestion/transcription and message metadata.</t>
  </si>
  <si>
    <t xml:space="preserve">AI intake: client, entity, request, department, service, period, deadline, urgency, attachments, complexity, clarification</t>
  </si>
  <si>
    <t xml:space="preserve">Most fields covered.</t>
  </si>
  <si>
    <t xml:space="preserve">Add explicit period, complexity estimation and clarification-required output fields.</t>
  </si>
  <si>
    <t xml:space="preserve">AI confidence: high auto-create, medium confirmation, low clarification</t>
  </si>
  <si>
    <t xml:space="preserve">Confidence + confirmation queue + guardrails covered.</t>
  </si>
  <si>
    <t xml:space="preserve">Acceptance-test all three bands.</t>
  </si>
  <si>
    <t xml:space="preserve">Task fields: source, original instruction, AI summary, estimated hours, client/internal SLA, dependencies</t>
  </si>
  <si>
    <t xml:space="preserve">Most are covered.</t>
  </si>
  <si>
    <t xml:space="preserve">Add explicit source/original instruction/AI summary and separate client vs internal SLA fields.</t>
  </si>
  <si>
    <t xml:space="preserve">Task status model: New → AI Processing → Awaiting Allocation → Assigned → In Progress → Awaiting Client/Internal Dependency → Review → Delivery → Completed → Archived; Cancelled</t>
  </si>
  <si>
    <t xml:space="preserve">Simplified state machine exists.</t>
  </si>
  <si>
    <t xml:space="preserve">Replace simplified workflow with the full PRD state model and test every valid/invalid transition.</t>
  </si>
  <si>
    <t xml:space="preserve">Allocation: department, skills, authority, client restrictions, experience, capacity, deadlines, complexity, leave, meetings/holidays, continuity</t>
  </si>
  <si>
    <t xml:space="preserve">Capacity, eligibility, skills, experience, availability, deadlines, client responsibility covered.</t>
  </si>
  <si>
    <t xml:space="preserve">Add authority, client restrictions, meetings/holidays and task complexity explicitly.</t>
  </si>
  <si>
    <t xml:space="preserve">Allocation must use actual available capacity, not task count</t>
  </si>
  <si>
    <t xml:space="preserve">Explicitly covered.</t>
  </si>
  <si>
    <t xml:space="preserve">Keep this as a non-negotiable acceptance criterion.</t>
  </si>
  <si>
    <t xml:space="preserve">Explainable allocation + human override + reason</t>
  </si>
  <si>
    <t xml:space="preserve">Keep audit trail for recommendation and override.</t>
  </si>
  <si>
    <t xml:space="preserve">Employee dashboard: today, in progress, upcoming, waiting, correction, client instructions, documents</t>
  </si>
  <si>
    <t xml:space="preserve">Core My Work + queues covered.</t>
  </si>
  <si>
    <t xml:space="preserve">Add dedicated client instructions and required-documents views/acceptance tests.</t>
  </si>
  <si>
    <t xml:space="preserve">Task workspace: original instruction, AI interpretation, working papers, client communication, review, activity</t>
  </si>
  <si>
    <t xml:space="preserve">Most covered.</t>
  </si>
  <si>
    <t xml:space="preserve">Explicitly add working papers and linked client communication as first-class task sections.</t>
  </si>
  <si>
    <t xml:space="preserve">Maker-checker with second-level approval</t>
  </si>
  <si>
    <t xml:space="preserve">Review + second-level approval covered.</t>
  </si>
  <si>
    <t xml:space="preserve">Test multi-level approval configuration.</t>
  </si>
  <si>
    <t xml:space="preserve">Documents: client input, working paper, draft, review copy, final, acknowledgement, communication</t>
  </si>
  <si>
    <t xml:space="preserve">Documents/versioning/categories covered generically.</t>
  </si>
  <si>
    <t xml:space="preserve">Add these exact document categories and versioning acceptance tests.</t>
  </si>
  <si>
    <t xml:space="preserve">Organisational knowledge search with controlled access</t>
  </si>
  <si>
    <t xml:space="preserve">Global search is covered, but AI knowledge retrieval is only implicit.</t>
  </si>
  <si>
    <t xml:space="preserve">Add semantic/AI search over communications/docs/tasks with permission-aware retrieval.</t>
  </si>
  <si>
    <t xml:space="preserve">Management dashboard: open, due today, overdue, waiting client, awaiting review, capacity, alerts</t>
  </si>
  <si>
    <t xml:space="preserve">Add exact PRD alert types and exception views.</t>
  </si>
  <si>
    <t xml:space="preserve">Management AI: overload, redistribution, client behaviour, cost alerts</t>
  </si>
  <si>
    <t xml:space="preserve">Covered in AI management intelligence.</t>
  </si>
  <si>
    <t xml:space="preserve">Add the client-behaviour and cost-alert examples as acceptance tests.</t>
  </si>
  <si>
    <t xml:space="preserve">Employee performance: distinguish employee/client/manager/dependency-caused delays</t>
  </si>
  <si>
    <t xml:space="preserve">Rework/TAT/utilisation covered, but delay attribution is not explicit.</t>
  </si>
  <si>
    <t xml:space="preserve">Missing</t>
  </si>
  <si>
    <t xml:space="preserve">Add a delay-cause model and analytics before calling performance analytics complete.</t>
  </si>
  <si>
    <t xml:space="preserve">Costing: employee hourly cost incl employer cost + overhead, task/service/client/engagement profitability</t>
  </si>
  <si>
    <t xml:space="preserve">Cost rate, task/client/service costing and profitability covered.</t>
  </si>
  <si>
    <t xml:space="preserve">Add employer cost + overhead methodology, engagement profitability and department profitability.</t>
  </si>
  <si>
    <t xml:space="preserve">Notifications: employee, reviewer, manager, future client</t>
  </si>
  <si>
    <t xml:space="preserve">In-app notifications/reminders/escalations covered.</t>
  </si>
  <si>
    <t xml:space="preserve">Add explicit event matrix and future client notification channels.</t>
  </si>
  <si>
    <t xml:space="preserve">Internal AI task creation from typed instruction and future voice</t>
  </si>
  <si>
    <t xml:space="preserve">Not explicitly in current roadmap.</t>
  </si>
  <si>
    <t xml:space="preserve">Add an internal AI command/intake feature before/alongside WhatsApp intake.</t>
  </si>
  <si>
    <t xml:space="preserve">Recurring tasks: monthly/quarterly/annual with calendars</t>
  </si>
  <si>
    <t xml:space="preserve">Recurring configuration is covered only as a baseline.</t>
  </si>
  <si>
    <t xml:space="preserve">Add calendar rules, generation, missed-generation recovery and recurrence tests.</t>
  </si>
  <si>
    <t xml:space="preserve">Deadline engine: statutory vs client commitment vs internal deadline</t>
  </si>
  <si>
    <t xml:space="preserve">Deadline engine exists, but types are not explicit.</t>
  </si>
  <si>
    <t xml:space="preserve">Add three deadline types and safety-margin logic.</t>
  </si>
  <si>
    <t xml:space="preserve">Client dependency clock and automatic matching of received documents to requests</t>
  </si>
  <si>
    <t xml:space="preserve">Awaiting-client state exists; document intake exists.</t>
  </si>
  <si>
    <t xml:space="preserve">Add dependency timer, pause/resume attribution and incoming-document matching.</t>
  </si>
  <si>
    <t xml:space="preserve">Audit trail with complete lifecycle timestamps</t>
  </si>
  <si>
    <t xml:space="preserve">Audit model + task history covered.</t>
  </si>
  <si>
    <t xml:space="preserve">Test full lifecycle example from message received to delivery.</t>
  </si>
  <si>
    <t xml:space="preserve">Deterministic controls vs AI assistant boundary</t>
  </si>
  <si>
    <t xml:space="preserve">Explicitly covered in guardrails.</t>
  </si>
  <si>
    <t xml:space="preserve">Keep as architecture gate before agent work.</t>
  </si>
  <si>
    <t xml:space="preserve">Mobile-friendly</t>
  </si>
  <si>
    <t xml:space="preserve">Mobile smoke tests covered.</t>
  </si>
  <si>
    <t xml:space="preserve">Keep core employee/reviewer actions usable on mobile.</t>
  </si>
  <si>
    <t xml:space="preserve">Core database entities incl Invoice, Notification, AI Event, Audit Log</t>
  </si>
  <si>
    <t xml:space="preserve">Most core entities represented conceptually.</t>
  </si>
  <si>
    <t xml:space="preserve">Add explicit Invoice/Billing model and AI Event model if not already present.</t>
  </si>
  <si>
    <t xml:space="preserve">Screens: Client Detail tabs include Billing + Analytics; Team Workload; Communication Inbox; Reports; Administration</t>
  </si>
  <si>
    <t xml:space="preserve">Most screens are represented indirectly.</t>
  </si>
  <si>
    <t xml:space="preserve">Add screen-level acceptance checklist, especially Client Billing/Analytics tabs and Communication Inbox.</t>
  </si>
  <si>
    <t xml:space="preserve">MVP definition</t>
  </si>
  <si>
    <t xml:space="preserve">Roadmap deliberately goes beyond MVP into later AI/portal.</t>
  </si>
  <si>
    <t xml:space="preserve">Make Day ~70-90 the production MVP gate, then continue V2+.</t>
  </si>
  <si>
    <t xml:space="preserve">Version 2 AI Intake / Version 3 Allocation / Version 4 Client Workflow / Version 5 Cost / Version 6 Management AI</t>
  </si>
  <si>
    <t xml:space="preserve">Covered conceptually.</t>
  </si>
  <si>
    <t xml:space="preserve">Preserve version gates.</t>
  </si>
  <si>
    <t xml:space="preserve">Future execution agents: reconciliation, extraction, compliance, report prep, research, marketing analytics, communication</t>
  </si>
  <si>
    <t xml:space="preserve">Narrow extraction/reconciliation agents are covered.</t>
  </si>
  <si>
    <t xml:space="preserve">Add an extensible agent catalogue and future agent slots; do not implement every agent before validation.</t>
  </si>
  <si>
    <t xml:space="preserve">Production rollout: staging, pilot, fixes, release</t>
  </si>
  <si>
    <t xml:space="preserve">Keep pilot before full rollout.</t>
  </si>
  <si>
    <t xml:space="preserve">Priority</t>
  </si>
  <si>
    <t xml:space="preserve">Change</t>
  </si>
  <si>
    <t xml:space="preserve">Why it matters</t>
  </si>
  <si>
    <t xml:space="preserve">Recommended timing</t>
  </si>
  <si>
    <t xml:space="preserve">P0</t>
  </si>
  <si>
    <t xml:space="preserve">Implement full PRD task status model, including AI Processing, Awaiting Allocation, client/internal dependency, review and delivery states</t>
  </si>
  <si>
    <t xml:space="preserve">The current plan simplifies the core workflow and would otherwise miss a major PRD requirement.</t>
  </si>
  <si>
    <t xml:space="preserve">Before Task Engine is marked complete</t>
  </si>
  <si>
    <t xml:space="preserve">Add delay-cause attribution: employee/client/manager/dependency</t>
  </si>
  <si>
    <t xml:space="preserve">Required for trustworthy performance analytics and management intelligence.</t>
  </si>
  <si>
    <t xml:space="preserve">Before Performance Analytics</t>
  </si>
  <si>
    <t xml:space="preserve">Add statutory/client/internal deadline types</t>
  </si>
  <si>
    <t xml:space="preserve">Required for the PRD's deadline safety-margin model.</t>
  </si>
  <si>
    <t xml:space="preserve">Before SLA/Deadline completion</t>
  </si>
  <si>
    <t xml:space="preserve">Add permission-aware organisational knowledge search / AI retrieval</t>
  </si>
  <si>
    <t xml:space="preserve">The PRD explicitly requires searchable institutional memory with controlled access.</t>
  </si>
  <si>
    <t xml:space="preserve">Before AI Management Intelligence</t>
  </si>
  <si>
    <t xml:space="preserve">Add voice-note intake/transcription and internal AI task creation</t>
  </si>
  <si>
    <t xml:space="preserve">The PRD covers voice notes and internal natural-language task creation.</t>
  </si>
  <si>
    <t xml:space="preserve">During AI Intake</t>
  </si>
  <si>
    <t xml:space="preserve">P1</t>
  </si>
  <si>
    <t xml:space="preserve">Expand allocation eligibility with authority, client restrictions, meetings/holidays and complexity</t>
  </si>
  <si>
    <t xml:space="preserve">These are explicit allocation factors in the PRD.</t>
  </si>
  <si>
    <t xml:space="preserve">During Allocation Engine</t>
  </si>
  <si>
    <t xml:space="preserve">Add exact document categories and client/task context metadata</t>
  </si>
  <si>
    <t xml:space="preserve">Needed for the intended document/knowledge repository.</t>
  </si>
  <si>
    <t xml:space="preserve">During Documents</t>
  </si>
  <si>
    <t xml:space="preserve">Add billing/invoice model and engagement/department profitability</t>
  </si>
  <si>
    <t xml:space="preserve">The PRD includes invoices and broader profitability dimensions.</t>
  </si>
  <si>
    <t xml:space="preserve">During Economics / Client Portal</t>
  </si>
  <si>
    <t xml:space="preserve">Add recurring calendar generation and recovery</t>
  </si>
  <si>
    <t xml:space="preserve">The current recurring baseline is too shallow for the PRD requirement.</t>
  </si>
  <si>
    <t xml:space="preserve">During Service/Deadline work</t>
  </si>
  <si>
    <t xml:space="preserve">Add exact screen-by-screen acceptance checklist</t>
  </si>
  <si>
    <t xml:space="preserve">Prevents functional coverage gaps hidden behind generic module completion.</t>
  </si>
  <si>
    <t xml:space="preserve">During UI implementation</t>
  </si>
  <si>
    <t xml:space="preserve">P2</t>
  </si>
  <si>
    <t xml:space="preserve">Expand future agent catalogue beyond extraction/reconciliation</t>
  </si>
  <si>
    <t xml:space="preserve">The PRD lists additional future agent categories, but they are explicitly future scope.</t>
  </si>
  <si>
    <t xml:space="preserve">After core agents are proven</t>
  </si>
  <si>
    <t xml:space="preserve">APPLIED</t>
  </si>
  <si>
    <t xml:space="preserve"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</si>
  <si>
    <t xml:space="preserve">Closes the P0/P1 items that were structural (schema/workflow) rather than UI-only.</t>
  </si>
  <si>
    <t xml:space="preserve">Done before Day 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</si>
</sst>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4" min="3" style="0" width="28"/>
    <col collapsed="false" customWidth="true" hidden="false" outlineLevel="0" max="5" min="5" style="0" width="52"/>
    <col collapsed="false" customWidth="true" hidden="false" outlineLevel="0" max="6" min="6" style="0" width="55"/>
    <col collapsed="false" customWidth="true" hidden="false" outlineLevel="0" max="7" min="7" style="0" width="36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0" min="10" style="0" width="35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15" hidden="false" customHeight="false" outlineLevel="0" collapsed="false">
      <c r="A2" s="2" t="n">
        <v>1</v>
      </c>
      <c r="B2" s="2" t="n">
        <v>1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3" t="s">
        <v>16</v>
      </c>
      <c r="J2" s="2"/>
    </row>
    <row r="3" customFormat="false" ht="28.35" hidden="false" customHeight="false" outlineLevel="0" collapsed="false">
      <c r="A3" s="2" t="n">
        <v>2</v>
      </c>
      <c r="B3" s="2" t="n">
        <v>1</v>
      </c>
      <c r="C3" s="2" t="s">
        <v>10</v>
      </c>
      <c r="D3" s="2" t="s">
        <v>17</v>
      </c>
      <c r="E3" s="2" t="s">
        <v>18</v>
      </c>
      <c r="F3" s="2" t="s">
        <v>19</v>
      </c>
      <c r="G3" s="2" t="s">
        <v>20</v>
      </c>
      <c r="H3" s="2" t="s">
        <v>15</v>
      </c>
      <c r="I3" s="3" t="s">
        <v>16</v>
      </c>
      <c r="J3" s="2"/>
    </row>
    <row r="4" customFormat="false" ht="15" hidden="false" customHeight="false" outlineLevel="0" collapsed="false">
      <c r="A4" s="2" t="n">
        <v>3</v>
      </c>
      <c r="B4" s="2" t="n">
        <v>1</v>
      </c>
      <c r="C4" s="2" t="s">
        <v>10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15</v>
      </c>
      <c r="I4" s="3" t="s">
        <v>16</v>
      </c>
      <c r="J4" s="2"/>
    </row>
    <row r="5" customFormat="false" ht="15" hidden="false" customHeight="false" outlineLevel="0" collapsed="false">
      <c r="A5" s="2" t="n">
        <v>4</v>
      </c>
      <c r="B5" s="2" t="n">
        <v>1</v>
      </c>
      <c r="C5" s="2" t="s">
        <v>10</v>
      </c>
      <c r="D5" s="2" t="s">
        <v>25</v>
      </c>
      <c r="E5" s="2" t="s">
        <v>26</v>
      </c>
      <c r="F5" s="2" t="s">
        <v>27</v>
      </c>
      <c r="G5" s="2" t="s">
        <v>28</v>
      </c>
      <c r="H5" s="2" t="s">
        <v>15</v>
      </c>
      <c r="I5" s="3" t="s">
        <v>16</v>
      </c>
      <c r="J5" s="2"/>
    </row>
    <row r="6" customFormat="false" ht="55.2" hidden="false" customHeight="false" outlineLevel="0" collapsed="false">
      <c r="A6" s="2" t="n">
        <v>5</v>
      </c>
      <c r="B6" s="2" t="n">
        <v>1</v>
      </c>
      <c r="C6" s="2" t="s">
        <v>10</v>
      </c>
      <c r="D6" s="2" t="s">
        <v>29</v>
      </c>
      <c r="E6" s="2" t="s">
        <v>30</v>
      </c>
      <c r="F6" s="2" t="s">
        <v>31</v>
      </c>
      <c r="G6" s="2" t="s">
        <v>32</v>
      </c>
      <c r="H6" s="2" t="s">
        <v>15</v>
      </c>
      <c r="I6" s="3" t="s">
        <v>16</v>
      </c>
      <c r="J6" s="2"/>
    </row>
    <row r="7" customFormat="false" ht="15" hidden="false" customHeight="false" outlineLevel="0" collapsed="false">
      <c r="A7" s="2" t="n">
        <v>6</v>
      </c>
      <c r="B7" s="2" t="n">
        <v>2</v>
      </c>
      <c r="C7" s="2" t="s">
        <v>10</v>
      </c>
      <c r="D7" s="2" t="s">
        <v>33</v>
      </c>
      <c r="E7" s="2" t="s">
        <v>34</v>
      </c>
      <c r="F7" s="2" t="s">
        <v>35</v>
      </c>
      <c r="G7" s="2" t="s">
        <v>36</v>
      </c>
      <c r="H7" s="2" t="s">
        <v>15</v>
      </c>
      <c r="I7" s="3" t="s">
        <v>16</v>
      </c>
      <c r="J7" s="2"/>
    </row>
    <row r="8" customFormat="false" ht="15" hidden="false" customHeight="false" outlineLevel="0" collapsed="false">
      <c r="A8" s="2" t="n">
        <v>7</v>
      </c>
      <c r="B8" s="2" t="n">
        <v>2</v>
      </c>
      <c r="C8" s="2" t="s">
        <v>10</v>
      </c>
      <c r="D8" s="2" t="s">
        <v>37</v>
      </c>
      <c r="E8" s="2" t="s">
        <v>38</v>
      </c>
      <c r="F8" s="2" t="s">
        <v>39</v>
      </c>
      <c r="G8" s="2" t="s">
        <v>40</v>
      </c>
      <c r="H8" s="2" t="s">
        <v>15</v>
      </c>
      <c r="I8" s="3" t="s">
        <v>16</v>
      </c>
      <c r="J8" s="2"/>
    </row>
    <row r="9" customFormat="false" ht="15" hidden="false" customHeight="false" outlineLevel="0" collapsed="false">
      <c r="A9" s="2" t="n">
        <v>8</v>
      </c>
      <c r="B9" s="2" t="n">
        <v>2</v>
      </c>
      <c r="C9" s="2" t="s">
        <v>10</v>
      </c>
      <c r="D9" s="2" t="s">
        <v>41</v>
      </c>
      <c r="E9" s="2" t="s">
        <v>42</v>
      </c>
      <c r="F9" s="2" t="s">
        <v>43</v>
      </c>
      <c r="G9" s="2" t="s">
        <v>44</v>
      </c>
      <c r="H9" s="2" t="s">
        <v>15</v>
      </c>
      <c r="I9" s="3" t="s">
        <v>16</v>
      </c>
      <c r="J9" s="2"/>
    </row>
    <row r="10" customFormat="false" ht="15" hidden="false" customHeight="false" outlineLevel="0" collapsed="false">
      <c r="A10" s="2" t="n">
        <v>9</v>
      </c>
      <c r="B10" s="2" t="n">
        <v>2</v>
      </c>
      <c r="C10" s="2" t="s">
        <v>10</v>
      </c>
      <c r="D10" s="2" t="s">
        <v>45</v>
      </c>
      <c r="E10" s="2" t="s">
        <v>46</v>
      </c>
      <c r="F10" s="2" t="s">
        <v>47</v>
      </c>
      <c r="G10" s="2" t="s">
        <v>48</v>
      </c>
      <c r="H10" s="2" t="s">
        <v>15</v>
      </c>
      <c r="I10" s="3" t="s">
        <v>16</v>
      </c>
      <c r="J10" s="2"/>
    </row>
    <row r="11" customFormat="false" ht="28.35" hidden="false" customHeight="false" outlineLevel="0" collapsed="false">
      <c r="A11" s="2" t="n">
        <v>10</v>
      </c>
      <c r="B11" s="2" t="n">
        <v>2</v>
      </c>
      <c r="C11" s="2" t="s">
        <v>10</v>
      </c>
      <c r="D11" s="2" t="s">
        <v>49</v>
      </c>
      <c r="E11" s="2" t="s">
        <v>50</v>
      </c>
      <c r="F11" s="2" t="s">
        <v>51</v>
      </c>
      <c r="G11" s="2" t="s">
        <v>52</v>
      </c>
      <c r="H11" s="2" t="s">
        <v>15</v>
      </c>
      <c r="I11" s="3" t="s">
        <v>16</v>
      </c>
      <c r="J11" s="2"/>
    </row>
    <row r="12" customFormat="false" ht="15" hidden="false" customHeight="false" outlineLevel="0" collapsed="false">
      <c r="A12" s="2" t="n">
        <v>11</v>
      </c>
      <c r="B12" s="2" t="n">
        <v>3</v>
      </c>
      <c r="C12" s="2" t="s">
        <v>53</v>
      </c>
      <c r="D12" s="2" t="s">
        <v>54</v>
      </c>
      <c r="E12" s="2" t="s">
        <v>55</v>
      </c>
      <c r="F12" s="2" t="s">
        <v>56</v>
      </c>
      <c r="G12" s="2" t="s">
        <v>57</v>
      </c>
      <c r="H12" s="2" t="s">
        <v>15</v>
      </c>
      <c r="I12" s="3" t="s">
        <v>16</v>
      </c>
      <c r="J12" s="2"/>
    </row>
    <row r="13" customFormat="false" ht="15" hidden="false" customHeight="false" outlineLevel="0" collapsed="false">
      <c r="A13" s="2" t="n">
        <v>12</v>
      </c>
      <c r="B13" s="2" t="n">
        <v>3</v>
      </c>
      <c r="C13" s="2" t="s">
        <v>53</v>
      </c>
      <c r="D13" s="2" t="s">
        <v>58</v>
      </c>
      <c r="E13" s="2" t="s">
        <v>59</v>
      </c>
      <c r="F13" s="2" t="s">
        <v>60</v>
      </c>
      <c r="G13" s="2" t="s">
        <v>61</v>
      </c>
      <c r="H13" s="2" t="s">
        <v>15</v>
      </c>
      <c r="I13" s="3" t="s">
        <v>16</v>
      </c>
      <c r="J13" s="2"/>
    </row>
    <row r="14" customFormat="false" ht="15" hidden="false" customHeight="false" outlineLevel="0" collapsed="false">
      <c r="A14" s="2" t="n">
        <v>13</v>
      </c>
      <c r="B14" s="2" t="n">
        <v>3</v>
      </c>
      <c r="C14" s="2" t="s">
        <v>53</v>
      </c>
      <c r="D14" s="2" t="s">
        <v>62</v>
      </c>
      <c r="E14" s="2" t="s">
        <v>63</v>
      </c>
      <c r="F14" s="2" t="s">
        <v>64</v>
      </c>
      <c r="G14" s="2" t="s">
        <v>65</v>
      </c>
      <c r="H14" s="2" t="s">
        <v>15</v>
      </c>
      <c r="I14" s="3" t="s">
        <v>16</v>
      </c>
      <c r="J14" s="2"/>
    </row>
    <row r="15" customFormat="false" ht="15" hidden="false" customHeight="false" outlineLevel="0" collapsed="false">
      <c r="A15" s="2" t="n">
        <v>14</v>
      </c>
      <c r="B15" s="2" t="n">
        <v>3</v>
      </c>
      <c r="C15" s="2" t="s">
        <v>53</v>
      </c>
      <c r="D15" s="2" t="s">
        <v>66</v>
      </c>
      <c r="E15" s="2" t="s">
        <v>67</v>
      </c>
      <c r="F15" s="2" t="s">
        <v>68</v>
      </c>
      <c r="G15" s="2" t="s">
        <v>69</v>
      </c>
      <c r="H15" s="2" t="s">
        <v>15</v>
      </c>
      <c r="I15" s="3" t="s">
        <v>16</v>
      </c>
      <c r="J15" s="2"/>
    </row>
    <row r="16" customFormat="false" ht="15" hidden="false" customHeight="false" outlineLevel="0" collapsed="false">
      <c r="A16" s="2" t="n">
        <v>15</v>
      </c>
      <c r="B16" s="2" t="n">
        <v>3</v>
      </c>
      <c r="C16" s="2" t="s">
        <v>53</v>
      </c>
      <c r="D16" s="2" t="s">
        <v>70</v>
      </c>
      <c r="E16" s="2" t="s">
        <v>71</v>
      </c>
      <c r="F16" s="2" t="s">
        <v>72</v>
      </c>
      <c r="G16" s="2" t="s">
        <v>73</v>
      </c>
      <c r="H16" s="2" t="s">
        <v>15</v>
      </c>
      <c r="I16" s="3" t="s">
        <v>16</v>
      </c>
      <c r="J16" s="2"/>
    </row>
    <row r="17" customFormat="false" ht="15" hidden="false" customHeight="false" outlineLevel="0" collapsed="false">
      <c r="A17" s="2" t="n">
        <v>16</v>
      </c>
      <c r="B17" s="2" t="n">
        <v>4</v>
      </c>
      <c r="C17" s="2" t="s">
        <v>53</v>
      </c>
      <c r="D17" s="2" t="s">
        <v>74</v>
      </c>
      <c r="E17" s="2" t="s">
        <v>75</v>
      </c>
      <c r="F17" s="2" t="s">
        <v>76</v>
      </c>
      <c r="G17" s="2" t="s">
        <v>74</v>
      </c>
      <c r="H17" s="2" t="s">
        <v>15</v>
      </c>
      <c r="I17" s="3" t="s">
        <v>16</v>
      </c>
      <c r="J17" s="2"/>
    </row>
    <row r="18" customFormat="false" ht="15" hidden="false" customHeight="false" outlineLevel="0" collapsed="false">
      <c r="A18" s="2" t="n">
        <v>17</v>
      </c>
      <c r="B18" s="2" t="n">
        <v>4</v>
      </c>
      <c r="C18" s="2" t="s">
        <v>77</v>
      </c>
      <c r="D18" s="2" t="s">
        <v>78</v>
      </c>
      <c r="E18" s="2" t="s">
        <v>79</v>
      </c>
      <c r="F18" s="2" t="s">
        <v>80</v>
      </c>
      <c r="G18" s="2" t="s">
        <v>81</v>
      </c>
      <c r="H18" s="2" t="s">
        <v>15</v>
      </c>
      <c r="I18" s="3" t="s">
        <v>16</v>
      </c>
      <c r="J18" s="2"/>
    </row>
    <row r="19" customFormat="false" ht="15" hidden="false" customHeight="false" outlineLevel="0" collapsed="false">
      <c r="A19" s="2" t="n">
        <v>18</v>
      </c>
      <c r="B19" s="2" t="n">
        <v>4</v>
      </c>
      <c r="C19" s="2" t="s">
        <v>77</v>
      </c>
      <c r="D19" s="2" t="s">
        <v>78</v>
      </c>
      <c r="E19" s="2" t="s">
        <v>82</v>
      </c>
      <c r="F19" s="2" t="s">
        <v>83</v>
      </c>
      <c r="G19" s="2" t="s">
        <v>84</v>
      </c>
      <c r="H19" s="2" t="s">
        <v>15</v>
      </c>
      <c r="I19" s="3" t="s">
        <v>16</v>
      </c>
      <c r="J19" s="2"/>
    </row>
    <row r="20" customFormat="false" ht="15" hidden="false" customHeight="false" outlineLevel="0" collapsed="false">
      <c r="A20" s="2" t="n">
        <v>19</v>
      </c>
      <c r="B20" s="2" t="n">
        <v>4</v>
      </c>
      <c r="C20" s="2" t="s">
        <v>77</v>
      </c>
      <c r="D20" s="2" t="s">
        <v>78</v>
      </c>
      <c r="E20" s="2" t="s">
        <v>85</v>
      </c>
      <c r="F20" s="2" t="s">
        <v>86</v>
      </c>
      <c r="G20" s="2" t="s">
        <v>87</v>
      </c>
      <c r="H20" s="2" t="s">
        <v>15</v>
      </c>
      <c r="I20" s="3" t="s">
        <v>16</v>
      </c>
      <c r="J20" s="2"/>
    </row>
    <row r="21" customFormat="false" ht="15" hidden="false" customHeight="false" outlineLevel="0" collapsed="false">
      <c r="A21" s="2" t="n">
        <v>20</v>
      </c>
      <c r="B21" s="2" t="n">
        <v>4</v>
      </c>
      <c r="C21" s="2" t="s">
        <v>77</v>
      </c>
      <c r="D21" s="2" t="s">
        <v>88</v>
      </c>
      <c r="E21" s="2" t="s">
        <v>89</v>
      </c>
      <c r="F21" s="2" t="s">
        <v>90</v>
      </c>
      <c r="G21" s="2" t="s">
        <v>91</v>
      </c>
      <c r="H21" s="2" t="s">
        <v>15</v>
      </c>
      <c r="I21" s="3" t="s">
        <v>16</v>
      </c>
      <c r="J21" s="2"/>
    </row>
    <row r="22" customFormat="false" ht="15" hidden="false" customHeight="false" outlineLevel="0" collapsed="false">
      <c r="A22" s="2" t="n">
        <v>21</v>
      </c>
      <c r="B22" s="2" t="n">
        <v>5</v>
      </c>
      <c r="C22" s="2" t="s">
        <v>77</v>
      </c>
      <c r="D22" s="2" t="s">
        <v>88</v>
      </c>
      <c r="E22" s="2" t="s">
        <v>92</v>
      </c>
      <c r="F22" s="2" t="s">
        <v>93</v>
      </c>
      <c r="G22" s="2" t="s">
        <v>94</v>
      </c>
      <c r="H22" s="2" t="s">
        <v>15</v>
      </c>
      <c r="I22" s="3" t="s">
        <v>16</v>
      </c>
      <c r="J22" s="2"/>
    </row>
    <row r="23" customFormat="false" ht="15" hidden="false" customHeight="false" outlineLevel="0" collapsed="false">
      <c r="A23" s="2" t="n">
        <v>22</v>
      </c>
      <c r="B23" s="2" t="n">
        <v>5</v>
      </c>
      <c r="C23" s="2" t="s">
        <v>77</v>
      </c>
      <c r="D23" s="2" t="s">
        <v>88</v>
      </c>
      <c r="E23" s="2" t="s">
        <v>95</v>
      </c>
      <c r="F23" s="2" t="s">
        <v>96</v>
      </c>
      <c r="G23" s="2" t="s">
        <v>97</v>
      </c>
      <c r="H23" s="2" t="s">
        <v>15</v>
      </c>
      <c r="I23" s="3" t="s">
        <v>16</v>
      </c>
      <c r="J23" s="2"/>
    </row>
    <row r="24" customFormat="false" ht="15" hidden="false" customHeight="false" outlineLevel="0" collapsed="false">
      <c r="A24" s="2" t="n">
        <v>23</v>
      </c>
      <c r="B24" s="2" t="n">
        <v>5</v>
      </c>
      <c r="C24" s="2" t="s">
        <v>77</v>
      </c>
      <c r="D24" s="2" t="s">
        <v>88</v>
      </c>
      <c r="E24" s="2" t="s">
        <v>98</v>
      </c>
      <c r="F24" s="2" t="s">
        <v>99</v>
      </c>
      <c r="G24" s="2" t="s">
        <v>100</v>
      </c>
      <c r="H24" s="2" t="s">
        <v>15</v>
      </c>
      <c r="I24" s="3" t="s">
        <v>16</v>
      </c>
      <c r="J24" s="2"/>
    </row>
    <row r="25" customFormat="false" ht="15" hidden="false" customHeight="false" outlineLevel="0" collapsed="false">
      <c r="A25" s="2" t="n">
        <v>24</v>
      </c>
      <c r="B25" s="2" t="n">
        <v>5</v>
      </c>
      <c r="C25" s="2" t="s">
        <v>77</v>
      </c>
      <c r="D25" s="2" t="s">
        <v>101</v>
      </c>
      <c r="E25" s="2" t="s">
        <v>102</v>
      </c>
      <c r="F25" s="2" t="s">
        <v>103</v>
      </c>
      <c r="G25" s="2" t="s">
        <v>104</v>
      </c>
      <c r="H25" s="2" t="s">
        <v>15</v>
      </c>
      <c r="I25" s="3" t="s">
        <v>16</v>
      </c>
      <c r="J25" s="2"/>
    </row>
    <row r="26" customFormat="false" ht="15" hidden="false" customHeight="false" outlineLevel="0" collapsed="false">
      <c r="A26" s="2" t="n">
        <v>25</v>
      </c>
      <c r="B26" s="2" t="n">
        <v>5</v>
      </c>
      <c r="C26" s="2" t="s">
        <v>77</v>
      </c>
      <c r="D26" s="2" t="s">
        <v>105</v>
      </c>
      <c r="E26" s="2" t="s">
        <v>106</v>
      </c>
      <c r="F26" s="2" t="s">
        <v>107</v>
      </c>
      <c r="G26" s="2" t="s">
        <v>108</v>
      </c>
      <c r="H26" s="2" t="s">
        <v>15</v>
      </c>
      <c r="I26" s="3" t="s">
        <v>16</v>
      </c>
      <c r="J26" s="2"/>
    </row>
    <row r="27" customFormat="false" ht="15" hidden="false" customHeight="false" outlineLevel="0" collapsed="false">
      <c r="A27" s="2" t="n">
        <v>26</v>
      </c>
      <c r="B27" s="2" t="n">
        <v>6</v>
      </c>
      <c r="C27" s="2" t="s">
        <v>77</v>
      </c>
      <c r="D27" s="2" t="s">
        <v>105</v>
      </c>
      <c r="E27" s="2" t="s">
        <v>109</v>
      </c>
      <c r="F27" s="2" t="s">
        <v>110</v>
      </c>
      <c r="G27" s="2" t="s">
        <v>111</v>
      </c>
      <c r="H27" s="2" t="s">
        <v>15</v>
      </c>
      <c r="I27" s="3" t="s">
        <v>16</v>
      </c>
      <c r="J27" s="2"/>
    </row>
    <row r="28" customFormat="false" ht="15" hidden="false" customHeight="false" outlineLevel="0" collapsed="false">
      <c r="A28" s="2" t="n">
        <v>27</v>
      </c>
      <c r="B28" s="2" t="n">
        <v>6</v>
      </c>
      <c r="C28" s="2" t="s">
        <v>77</v>
      </c>
      <c r="D28" s="2" t="s">
        <v>112</v>
      </c>
      <c r="E28" s="2" t="s">
        <v>113</v>
      </c>
      <c r="F28" s="2" t="s">
        <v>114</v>
      </c>
      <c r="G28" s="2" t="s">
        <v>115</v>
      </c>
      <c r="H28" s="2" t="s">
        <v>15</v>
      </c>
      <c r="I28" s="3" t="s">
        <v>16</v>
      </c>
      <c r="J28" s="2"/>
    </row>
    <row r="29" customFormat="false" ht="15" hidden="false" customHeight="false" outlineLevel="0" collapsed="false">
      <c r="A29" s="2" t="n">
        <v>28</v>
      </c>
      <c r="B29" s="2" t="n">
        <v>6</v>
      </c>
      <c r="C29" s="2" t="s">
        <v>116</v>
      </c>
      <c r="D29" s="2" t="s">
        <v>117</v>
      </c>
      <c r="E29" s="2" t="s">
        <v>118</v>
      </c>
      <c r="F29" s="2" t="s">
        <v>119</v>
      </c>
      <c r="G29" s="2" t="s">
        <v>120</v>
      </c>
      <c r="H29" s="2" t="s">
        <v>15</v>
      </c>
      <c r="I29" s="3" t="s">
        <v>16</v>
      </c>
      <c r="J29" s="2"/>
    </row>
    <row r="30" customFormat="false" ht="15" hidden="false" customHeight="false" outlineLevel="0" collapsed="false">
      <c r="A30" s="2" t="n">
        <v>29</v>
      </c>
      <c r="B30" s="2" t="n">
        <v>6</v>
      </c>
      <c r="C30" s="2" t="s">
        <v>116</v>
      </c>
      <c r="D30" s="2" t="s">
        <v>117</v>
      </c>
      <c r="E30" s="2" t="s">
        <v>121</v>
      </c>
      <c r="F30" s="2" t="s">
        <v>122</v>
      </c>
      <c r="G30" s="2" t="s">
        <v>123</v>
      </c>
      <c r="H30" s="2" t="s">
        <v>15</v>
      </c>
      <c r="I30" s="3" t="s">
        <v>16</v>
      </c>
      <c r="J30" s="2"/>
    </row>
    <row r="31" customFormat="false" ht="15" hidden="false" customHeight="false" outlineLevel="0" collapsed="false">
      <c r="A31" s="2" t="n">
        <v>30</v>
      </c>
      <c r="B31" s="2" t="n">
        <v>6</v>
      </c>
      <c r="C31" s="2" t="s">
        <v>116</v>
      </c>
      <c r="D31" s="2" t="s">
        <v>117</v>
      </c>
      <c r="E31" s="2" t="s">
        <v>124</v>
      </c>
      <c r="F31" s="2" t="s">
        <v>125</v>
      </c>
      <c r="G31" s="2" t="s">
        <v>126</v>
      </c>
      <c r="H31" s="2" t="s">
        <v>15</v>
      </c>
      <c r="I31" s="3" t="s">
        <v>16</v>
      </c>
      <c r="J31" s="2"/>
    </row>
    <row r="32" customFormat="false" ht="15" hidden="false" customHeight="false" outlineLevel="0" collapsed="false">
      <c r="A32" s="2" t="n">
        <v>31</v>
      </c>
      <c r="B32" s="2" t="n">
        <v>7</v>
      </c>
      <c r="C32" s="2" t="s">
        <v>116</v>
      </c>
      <c r="D32" s="2" t="s">
        <v>117</v>
      </c>
      <c r="E32" s="2" t="s">
        <v>127</v>
      </c>
      <c r="F32" s="2" t="s">
        <v>128</v>
      </c>
      <c r="G32" s="2" t="s">
        <v>129</v>
      </c>
      <c r="H32" s="2" t="s">
        <v>15</v>
      </c>
      <c r="I32" s="3" t="s">
        <v>16</v>
      </c>
      <c r="J32" s="2"/>
    </row>
    <row r="33" customFormat="false" ht="15" hidden="false" customHeight="false" outlineLevel="0" collapsed="false">
      <c r="A33" s="2" t="n">
        <v>32</v>
      </c>
      <c r="B33" s="2" t="n">
        <v>7</v>
      </c>
      <c r="C33" s="2" t="s">
        <v>116</v>
      </c>
      <c r="D33" s="2" t="s">
        <v>130</v>
      </c>
      <c r="E33" s="2" t="s">
        <v>131</v>
      </c>
      <c r="F33" s="2" t="s">
        <v>132</v>
      </c>
      <c r="G33" s="2" t="s">
        <v>133</v>
      </c>
      <c r="H33" s="2" t="s">
        <v>15</v>
      </c>
      <c r="I33" s="3" t="s">
        <v>16</v>
      </c>
      <c r="J33" s="2"/>
    </row>
    <row r="34" customFormat="false" ht="15" hidden="false" customHeight="false" outlineLevel="0" collapsed="false">
      <c r="A34" s="2" t="n">
        <v>33</v>
      </c>
      <c r="B34" s="2" t="n">
        <v>7</v>
      </c>
      <c r="C34" s="2" t="s">
        <v>116</v>
      </c>
      <c r="D34" s="2" t="s">
        <v>130</v>
      </c>
      <c r="E34" s="2" t="s">
        <v>134</v>
      </c>
      <c r="F34" s="2" t="s">
        <v>135</v>
      </c>
      <c r="G34" s="2" t="s">
        <v>136</v>
      </c>
      <c r="H34" s="2" t="s">
        <v>15</v>
      </c>
      <c r="I34" s="3" t="s">
        <v>16</v>
      </c>
      <c r="J34" s="2"/>
    </row>
    <row r="35" customFormat="false" ht="15" hidden="false" customHeight="false" outlineLevel="0" collapsed="false">
      <c r="A35" s="2" t="n">
        <v>34</v>
      </c>
      <c r="B35" s="2" t="n">
        <v>7</v>
      </c>
      <c r="C35" s="2" t="s">
        <v>116</v>
      </c>
      <c r="D35" s="2" t="s">
        <v>137</v>
      </c>
      <c r="E35" s="2" t="s">
        <v>138</v>
      </c>
      <c r="F35" s="2" t="s">
        <v>139</v>
      </c>
      <c r="G35" s="2" t="s">
        <v>140</v>
      </c>
      <c r="H35" s="2" t="s">
        <v>15</v>
      </c>
      <c r="I35" s="3" t="s">
        <v>16</v>
      </c>
      <c r="J35" s="2"/>
    </row>
    <row r="36" customFormat="false" ht="15" hidden="false" customHeight="false" outlineLevel="0" collapsed="false">
      <c r="A36" s="2" t="n">
        <v>35</v>
      </c>
      <c r="B36" s="2" t="n">
        <v>7</v>
      </c>
      <c r="C36" s="2" t="s">
        <v>116</v>
      </c>
      <c r="D36" s="2" t="s">
        <v>141</v>
      </c>
      <c r="E36" s="2" t="s">
        <v>142</v>
      </c>
      <c r="F36" s="2" t="s">
        <v>143</v>
      </c>
      <c r="G36" s="2" t="s">
        <v>144</v>
      </c>
      <c r="H36" s="2" t="s">
        <v>15</v>
      </c>
      <c r="I36" s="3" t="s">
        <v>16</v>
      </c>
      <c r="J36" s="2"/>
    </row>
    <row r="37" customFormat="false" ht="15" hidden="false" customHeight="false" outlineLevel="0" collapsed="false">
      <c r="A37" s="2" t="n">
        <v>36</v>
      </c>
      <c r="B37" s="2" t="n">
        <v>8</v>
      </c>
      <c r="C37" s="2" t="s">
        <v>116</v>
      </c>
      <c r="D37" s="2" t="s">
        <v>145</v>
      </c>
      <c r="E37" s="2" t="s">
        <v>146</v>
      </c>
      <c r="F37" s="2" t="s">
        <v>147</v>
      </c>
      <c r="G37" s="2" t="s">
        <v>148</v>
      </c>
      <c r="H37" s="2" t="s">
        <v>15</v>
      </c>
      <c r="I37" s="3" t="s">
        <v>16</v>
      </c>
      <c r="J37" s="2"/>
    </row>
    <row r="38" customFormat="false" ht="15" hidden="false" customHeight="false" outlineLevel="0" collapsed="false">
      <c r="A38" s="2" t="n">
        <v>37</v>
      </c>
      <c r="B38" s="2" t="n">
        <v>8</v>
      </c>
      <c r="C38" s="2" t="s">
        <v>149</v>
      </c>
      <c r="D38" s="2" t="s">
        <v>150</v>
      </c>
      <c r="E38" s="2" t="s">
        <v>151</v>
      </c>
      <c r="F38" s="2" t="s">
        <v>152</v>
      </c>
      <c r="G38" s="2" t="s">
        <v>153</v>
      </c>
      <c r="H38" s="2" t="s">
        <v>15</v>
      </c>
      <c r="I38" s="3" t="s">
        <v>16</v>
      </c>
      <c r="J38" s="2"/>
    </row>
    <row r="39" customFormat="false" ht="15" hidden="false" customHeight="false" outlineLevel="0" collapsed="false">
      <c r="A39" s="2" t="n">
        <v>38</v>
      </c>
      <c r="B39" s="2" t="n">
        <v>8</v>
      </c>
      <c r="C39" s="2" t="s">
        <v>149</v>
      </c>
      <c r="D39" s="2" t="s">
        <v>150</v>
      </c>
      <c r="E39" s="2" t="s">
        <v>154</v>
      </c>
      <c r="F39" s="2" t="s">
        <v>155</v>
      </c>
      <c r="G39" s="2" t="s">
        <v>156</v>
      </c>
      <c r="H39" s="2" t="s">
        <v>15</v>
      </c>
      <c r="I39" s="3" t="s">
        <v>16</v>
      </c>
      <c r="J39" s="2"/>
    </row>
    <row r="40" customFormat="false" ht="15" hidden="false" customHeight="false" outlineLevel="0" collapsed="false">
      <c r="A40" s="2" t="n">
        <v>39</v>
      </c>
      <c r="B40" s="2" t="n">
        <v>8</v>
      </c>
      <c r="C40" s="2" t="s">
        <v>149</v>
      </c>
      <c r="D40" s="2" t="s">
        <v>150</v>
      </c>
      <c r="E40" s="2" t="s">
        <v>157</v>
      </c>
      <c r="F40" s="2" t="s">
        <v>158</v>
      </c>
      <c r="G40" s="2" t="s">
        <v>159</v>
      </c>
      <c r="H40" s="2" t="s">
        <v>15</v>
      </c>
      <c r="I40" s="3" t="s">
        <v>16</v>
      </c>
      <c r="J40" s="2"/>
    </row>
    <row r="41" customFormat="false" ht="15" hidden="false" customHeight="false" outlineLevel="0" collapsed="false">
      <c r="A41" s="2" t="n">
        <v>40</v>
      </c>
      <c r="B41" s="2" t="n">
        <v>8</v>
      </c>
      <c r="C41" s="2" t="s">
        <v>149</v>
      </c>
      <c r="D41" s="2" t="s">
        <v>160</v>
      </c>
      <c r="E41" s="2" t="s">
        <v>161</v>
      </c>
      <c r="F41" s="2" t="s">
        <v>162</v>
      </c>
      <c r="G41" s="2" t="s">
        <v>163</v>
      </c>
      <c r="H41" s="2" t="s">
        <v>15</v>
      </c>
      <c r="I41" s="3" t="s">
        <v>16</v>
      </c>
      <c r="J41" s="2"/>
    </row>
    <row r="42" customFormat="false" ht="15" hidden="false" customHeight="false" outlineLevel="0" collapsed="false">
      <c r="A42" s="2" t="n">
        <v>41</v>
      </c>
      <c r="B42" s="2" t="n">
        <v>9</v>
      </c>
      <c r="C42" s="2" t="s">
        <v>149</v>
      </c>
      <c r="D42" s="2" t="s">
        <v>160</v>
      </c>
      <c r="E42" s="2" t="s">
        <v>164</v>
      </c>
      <c r="F42" s="2" t="s">
        <v>165</v>
      </c>
      <c r="G42" s="2" t="s">
        <v>166</v>
      </c>
      <c r="H42" s="2" t="s">
        <v>15</v>
      </c>
      <c r="I42" s="3" t="s">
        <v>16</v>
      </c>
      <c r="J42" s="2"/>
    </row>
    <row r="43" customFormat="false" ht="15" hidden="false" customHeight="false" outlineLevel="0" collapsed="false">
      <c r="A43" s="2" t="n">
        <v>42</v>
      </c>
      <c r="B43" s="2" t="n">
        <v>9</v>
      </c>
      <c r="C43" s="2" t="s">
        <v>149</v>
      </c>
      <c r="D43" s="2" t="s">
        <v>160</v>
      </c>
      <c r="E43" s="2" t="s">
        <v>167</v>
      </c>
      <c r="F43" s="2" t="s">
        <v>168</v>
      </c>
      <c r="G43" s="2" t="s">
        <v>169</v>
      </c>
      <c r="H43" s="2" t="s">
        <v>15</v>
      </c>
      <c r="I43" s="3" t="s">
        <v>16</v>
      </c>
      <c r="J43" s="2"/>
    </row>
    <row r="44" customFormat="false" ht="15" hidden="false" customHeight="false" outlineLevel="0" collapsed="false">
      <c r="A44" s="2" t="n">
        <v>43</v>
      </c>
      <c r="B44" s="2" t="n">
        <v>9</v>
      </c>
      <c r="C44" s="2" t="s">
        <v>149</v>
      </c>
      <c r="D44" s="2" t="s">
        <v>170</v>
      </c>
      <c r="E44" s="2" t="s">
        <v>171</v>
      </c>
      <c r="F44" s="2" t="s">
        <v>172</v>
      </c>
      <c r="G44" s="2" t="s">
        <v>173</v>
      </c>
      <c r="H44" s="2" t="s">
        <v>15</v>
      </c>
      <c r="I44" s="3" t="s">
        <v>16</v>
      </c>
      <c r="J44" s="2"/>
    </row>
    <row r="45" customFormat="false" ht="15" hidden="false" customHeight="false" outlineLevel="0" collapsed="false">
      <c r="A45" s="2" t="n">
        <v>44</v>
      </c>
      <c r="B45" s="2" t="n">
        <v>9</v>
      </c>
      <c r="C45" s="2" t="s">
        <v>174</v>
      </c>
      <c r="D45" s="2" t="s">
        <v>175</v>
      </c>
      <c r="E45" s="2" t="s">
        <v>176</v>
      </c>
      <c r="F45" s="2" t="s">
        <v>177</v>
      </c>
      <c r="G45" s="2" t="s">
        <v>178</v>
      </c>
      <c r="H45" s="2" t="s">
        <v>15</v>
      </c>
      <c r="I45" s="3" t="s">
        <v>16</v>
      </c>
      <c r="J45" s="2"/>
    </row>
    <row r="46" customFormat="false" ht="15" hidden="false" customHeight="false" outlineLevel="0" collapsed="false">
      <c r="A46" s="2" t="n">
        <v>45</v>
      </c>
      <c r="B46" s="2" t="n">
        <v>9</v>
      </c>
      <c r="C46" s="2" t="s">
        <v>174</v>
      </c>
      <c r="D46" s="2" t="s">
        <v>175</v>
      </c>
      <c r="E46" s="2" t="s">
        <v>179</v>
      </c>
      <c r="F46" s="2" t="s">
        <v>180</v>
      </c>
      <c r="G46" s="2" t="s">
        <v>181</v>
      </c>
      <c r="H46" s="2" t="s">
        <v>15</v>
      </c>
      <c r="I46" s="3" t="s">
        <v>16</v>
      </c>
      <c r="J46" s="2"/>
    </row>
    <row r="47" customFormat="false" ht="15" hidden="false" customHeight="false" outlineLevel="0" collapsed="false">
      <c r="A47" s="2" t="n">
        <v>46</v>
      </c>
      <c r="B47" s="2" t="n">
        <v>10</v>
      </c>
      <c r="C47" s="2" t="s">
        <v>174</v>
      </c>
      <c r="D47" s="2" t="s">
        <v>182</v>
      </c>
      <c r="E47" s="2" t="s">
        <v>183</v>
      </c>
      <c r="F47" s="2" t="s">
        <v>184</v>
      </c>
      <c r="G47" s="2" t="s">
        <v>185</v>
      </c>
      <c r="H47" s="2" t="s">
        <v>15</v>
      </c>
      <c r="I47" s="3" t="s">
        <v>16</v>
      </c>
      <c r="J47" s="2"/>
    </row>
    <row r="48" customFormat="false" ht="15" hidden="false" customHeight="false" outlineLevel="0" collapsed="false">
      <c r="A48" s="2" t="n">
        <v>47</v>
      </c>
      <c r="B48" s="2" t="n">
        <v>10</v>
      </c>
      <c r="C48" s="2" t="s">
        <v>174</v>
      </c>
      <c r="D48" s="2" t="s">
        <v>186</v>
      </c>
      <c r="E48" s="2" t="s">
        <v>187</v>
      </c>
      <c r="F48" s="2" t="s">
        <v>188</v>
      </c>
      <c r="G48" s="2" t="s">
        <v>189</v>
      </c>
      <c r="H48" s="2" t="s">
        <v>15</v>
      </c>
      <c r="I48" s="3" t="s">
        <v>16</v>
      </c>
      <c r="J48" s="2"/>
    </row>
    <row r="49" customFormat="false" ht="82.05" hidden="false" customHeight="false" outlineLevel="0" collapsed="false">
      <c r="A49" s="2" t="n">
        <v>48</v>
      </c>
      <c r="B49" s="2" t="n">
        <v>10</v>
      </c>
      <c r="C49" s="2" t="s">
        <v>174</v>
      </c>
      <c r="D49" s="2" t="s">
        <v>190</v>
      </c>
      <c r="E49" s="2" t="s">
        <v>191</v>
      </c>
      <c r="F49" s="2" t="s">
        <v>192</v>
      </c>
      <c r="G49" s="2" t="s">
        <v>193</v>
      </c>
      <c r="H49" s="2" t="s">
        <v>15</v>
      </c>
      <c r="I49" s="3" t="s">
        <v>16</v>
      </c>
      <c r="J49" s="2"/>
    </row>
    <row r="50" customFormat="false" ht="15" hidden="false" customHeight="false" outlineLevel="0" collapsed="false">
      <c r="A50" s="2" t="n">
        <v>49</v>
      </c>
      <c r="B50" s="2" t="n">
        <v>10</v>
      </c>
      <c r="C50" s="2" t="s">
        <v>174</v>
      </c>
      <c r="D50" s="2" t="s">
        <v>194</v>
      </c>
      <c r="E50" s="2" t="s">
        <v>195</v>
      </c>
      <c r="F50" s="2" t="s">
        <v>196</v>
      </c>
      <c r="G50" s="2" t="s">
        <v>194</v>
      </c>
      <c r="H50" s="2" t="s">
        <v>15</v>
      </c>
      <c r="I50" s="3" t="s">
        <v>16</v>
      </c>
      <c r="J50" s="2"/>
    </row>
    <row r="51" customFormat="false" ht="15" hidden="false" customHeight="false" outlineLevel="0" collapsed="false">
      <c r="A51" s="2" t="n">
        <v>50</v>
      </c>
      <c r="B51" s="2" t="n">
        <v>10</v>
      </c>
      <c r="C51" s="2" t="s">
        <v>174</v>
      </c>
      <c r="D51" s="2" t="s">
        <v>194</v>
      </c>
      <c r="E51" s="2" t="s">
        <v>197</v>
      </c>
      <c r="F51" s="2" t="s">
        <v>198</v>
      </c>
      <c r="G51" s="2" t="s">
        <v>199</v>
      </c>
      <c r="H51" s="2" t="s">
        <v>15</v>
      </c>
      <c r="I51" s="3" t="s">
        <v>16</v>
      </c>
      <c r="J51" s="2"/>
    </row>
    <row r="52" customFormat="false" ht="15" hidden="false" customHeight="false" outlineLevel="0" collapsed="false">
      <c r="A52" s="2" t="n">
        <v>51</v>
      </c>
      <c r="B52" s="2" t="n">
        <v>11</v>
      </c>
      <c r="C52" s="2" t="s">
        <v>174</v>
      </c>
      <c r="D52" s="2" t="s">
        <v>200</v>
      </c>
      <c r="E52" s="2" t="s">
        <v>201</v>
      </c>
      <c r="F52" s="2" t="s">
        <v>202</v>
      </c>
      <c r="G52" s="2" t="s">
        <v>203</v>
      </c>
      <c r="H52" s="2" t="s">
        <v>15</v>
      </c>
      <c r="I52" s="3" t="s">
        <v>16</v>
      </c>
      <c r="J52" s="2"/>
    </row>
    <row r="53" customFormat="false" ht="15" hidden="false" customHeight="false" outlineLevel="0" collapsed="false">
      <c r="A53" s="2" t="n">
        <v>52</v>
      </c>
      <c r="B53" s="2" t="n">
        <v>11</v>
      </c>
      <c r="C53" s="2" t="s">
        <v>174</v>
      </c>
      <c r="D53" s="2" t="s">
        <v>204</v>
      </c>
      <c r="E53" s="2" t="s">
        <v>205</v>
      </c>
      <c r="F53" s="2" t="s">
        <v>206</v>
      </c>
      <c r="G53" s="2" t="s">
        <v>204</v>
      </c>
      <c r="H53" s="2" t="s">
        <v>15</v>
      </c>
      <c r="I53" s="3" t="s">
        <v>16</v>
      </c>
      <c r="J53" s="2"/>
    </row>
    <row r="54" customFormat="false" ht="15" hidden="false" customHeight="false" outlineLevel="0" collapsed="false">
      <c r="A54" s="2" t="n">
        <v>53</v>
      </c>
      <c r="B54" s="2" t="n">
        <v>11</v>
      </c>
      <c r="C54" s="2" t="s">
        <v>174</v>
      </c>
      <c r="D54" s="2" t="s">
        <v>207</v>
      </c>
      <c r="E54" s="2" t="s">
        <v>207</v>
      </c>
      <c r="F54" s="2" t="s">
        <v>208</v>
      </c>
      <c r="G54" s="2" t="s">
        <v>209</v>
      </c>
      <c r="H54" s="2" t="s">
        <v>15</v>
      </c>
      <c r="I54" s="3" t="s">
        <v>16</v>
      </c>
      <c r="J54" s="2"/>
    </row>
    <row r="55" customFormat="false" ht="15" hidden="false" customHeight="false" outlineLevel="0" collapsed="false">
      <c r="A55" s="2" t="n">
        <v>54</v>
      </c>
      <c r="B55" s="2" t="n">
        <v>11</v>
      </c>
      <c r="C55" s="2" t="s">
        <v>174</v>
      </c>
      <c r="D55" s="2" t="s">
        <v>210</v>
      </c>
      <c r="E55" s="2" t="s">
        <v>211</v>
      </c>
      <c r="F55" s="2" t="s">
        <v>212</v>
      </c>
      <c r="G55" s="2" t="s">
        <v>210</v>
      </c>
      <c r="H55" s="2" t="s">
        <v>15</v>
      </c>
      <c r="I55" s="3" t="s">
        <v>16</v>
      </c>
      <c r="J55" s="2"/>
    </row>
    <row r="56" customFormat="false" ht="15" hidden="false" customHeight="false" outlineLevel="0" collapsed="false">
      <c r="A56" s="2" t="n">
        <v>55</v>
      </c>
      <c r="B56" s="2" t="n">
        <v>11</v>
      </c>
      <c r="C56" s="2" t="s">
        <v>174</v>
      </c>
      <c r="D56" s="2" t="s">
        <v>213</v>
      </c>
      <c r="E56" s="2" t="s">
        <v>214</v>
      </c>
      <c r="F56" s="2" t="s">
        <v>215</v>
      </c>
      <c r="G56" s="2" t="s">
        <v>213</v>
      </c>
      <c r="H56" s="2" t="s">
        <v>15</v>
      </c>
      <c r="I56" s="3" t="s">
        <v>16</v>
      </c>
      <c r="J56" s="2"/>
    </row>
    <row r="57" customFormat="false" ht="15" hidden="false" customHeight="false" outlineLevel="0" collapsed="false">
      <c r="A57" s="2" t="n">
        <v>56</v>
      </c>
      <c r="B57" s="2" t="n">
        <v>12</v>
      </c>
      <c r="C57" s="2" t="s">
        <v>174</v>
      </c>
      <c r="D57" s="2" t="s">
        <v>216</v>
      </c>
      <c r="E57" s="2" t="s">
        <v>217</v>
      </c>
      <c r="F57" s="2" t="s">
        <v>218</v>
      </c>
      <c r="G57" s="2" t="s">
        <v>216</v>
      </c>
      <c r="H57" s="2" t="s">
        <v>15</v>
      </c>
      <c r="I57" s="3" t="s">
        <v>16</v>
      </c>
      <c r="J57" s="2"/>
    </row>
    <row r="58" customFormat="false" ht="15" hidden="false" customHeight="false" outlineLevel="0" collapsed="false">
      <c r="A58" s="2" t="n">
        <v>57</v>
      </c>
      <c r="B58" s="2" t="n">
        <v>12</v>
      </c>
      <c r="C58" s="2" t="s">
        <v>174</v>
      </c>
      <c r="D58" s="2" t="s">
        <v>219</v>
      </c>
      <c r="E58" s="2" t="s">
        <v>220</v>
      </c>
      <c r="F58" s="2" t="s">
        <v>221</v>
      </c>
      <c r="G58" s="2" t="s">
        <v>222</v>
      </c>
      <c r="H58" s="2" t="s">
        <v>15</v>
      </c>
      <c r="I58" s="3" t="s">
        <v>16</v>
      </c>
      <c r="J58" s="2"/>
    </row>
    <row r="59" customFormat="false" ht="15" hidden="false" customHeight="false" outlineLevel="0" collapsed="false">
      <c r="A59" s="2" t="n">
        <v>58</v>
      </c>
      <c r="B59" s="2" t="n">
        <v>12</v>
      </c>
      <c r="C59" s="2" t="s">
        <v>174</v>
      </c>
      <c r="D59" s="2" t="s">
        <v>223</v>
      </c>
      <c r="E59" s="2" t="s">
        <v>224</v>
      </c>
      <c r="F59" s="2" t="s">
        <v>225</v>
      </c>
      <c r="G59" s="2" t="s">
        <v>226</v>
      </c>
      <c r="H59" s="2" t="s">
        <v>15</v>
      </c>
      <c r="I59" s="3" t="s">
        <v>16</v>
      </c>
      <c r="J59" s="2"/>
    </row>
    <row r="60" customFormat="false" ht="15" hidden="false" customHeight="false" outlineLevel="0" collapsed="false">
      <c r="A60" s="2" t="n">
        <v>59</v>
      </c>
      <c r="B60" s="2" t="n">
        <v>12</v>
      </c>
      <c r="C60" s="2" t="s">
        <v>227</v>
      </c>
      <c r="D60" s="2" t="s">
        <v>228</v>
      </c>
      <c r="E60" s="2" t="s">
        <v>229</v>
      </c>
      <c r="F60" s="2" t="s">
        <v>230</v>
      </c>
      <c r="G60" s="2" t="s">
        <v>228</v>
      </c>
      <c r="H60" s="2" t="s">
        <v>15</v>
      </c>
      <c r="I60" s="3" t="s">
        <v>16</v>
      </c>
      <c r="J60" s="2"/>
    </row>
    <row r="61" customFormat="false" ht="15" hidden="false" customHeight="false" outlineLevel="0" collapsed="false">
      <c r="A61" s="2" t="n">
        <v>60</v>
      </c>
      <c r="B61" s="2" t="n">
        <v>12</v>
      </c>
      <c r="C61" s="2" t="s">
        <v>227</v>
      </c>
      <c r="D61" s="2" t="s">
        <v>228</v>
      </c>
      <c r="E61" s="2" t="s">
        <v>231</v>
      </c>
      <c r="F61" s="2" t="s">
        <v>232</v>
      </c>
      <c r="G61" s="2" t="s">
        <v>233</v>
      </c>
      <c r="H61" s="2" t="s">
        <v>15</v>
      </c>
      <c r="I61" s="3" t="s">
        <v>16</v>
      </c>
      <c r="J61" s="2"/>
    </row>
    <row r="62" customFormat="false" ht="15" hidden="false" customHeight="false" outlineLevel="0" collapsed="false">
      <c r="A62" s="2" t="n">
        <v>61</v>
      </c>
      <c r="B62" s="2" t="n">
        <v>13</v>
      </c>
      <c r="C62" s="2" t="s">
        <v>227</v>
      </c>
      <c r="D62" s="2" t="s">
        <v>234</v>
      </c>
      <c r="E62" s="2" t="s">
        <v>235</v>
      </c>
      <c r="F62" s="2" t="s">
        <v>236</v>
      </c>
      <c r="G62" s="2" t="s">
        <v>237</v>
      </c>
      <c r="H62" s="2" t="s">
        <v>15</v>
      </c>
      <c r="I62" s="3" t="s">
        <v>16</v>
      </c>
      <c r="J62" s="2"/>
    </row>
    <row r="63" customFormat="false" ht="15" hidden="false" customHeight="false" outlineLevel="0" collapsed="false">
      <c r="A63" s="2" t="n">
        <v>62</v>
      </c>
      <c r="B63" s="2" t="n">
        <v>13</v>
      </c>
      <c r="C63" s="2" t="s">
        <v>227</v>
      </c>
      <c r="D63" s="2" t="s">
        <v>234</v>
      </c>
      <c r="E63" s="2" t="s">
        <v>238</v>
      </c>
      <c r="F63" s="2" t="s">
        <v>239</v>
      </c>
      <c r="G63" s="2" t="s">
        <v>240</v>
      </c>
      <c r="H63" s="2" t="s">
        <v>15</v>
      </c>
      <c r="I63" s="3" t="s">
        <v>16</v>
      </c>
      <c r="J63" s="2"/>
    </row>
    <row r="64" customFormat="false" ht="15" hidden="false" customHeight="false" outlineLevel="0" collapsed="false">
      <c r="A64" s="2" t="n">
        <v>63</v>
      </c>
      <c r="B64" s="2" t="n">
        <v>13</v>
      </c>
      <c r="C64" s="2" t="s">
        <v>227</v>
      </c>
      <c r="D64" s="2" t="s">
        <v>234</v>
      </c>
      <c r="E64" s="2" t="s">
        <v>241</v>
      </c>
      <c r="F64" s="2" t="s">
        <v>242</v>
      </c>
      <c r="G64" s="2" t="s">
        <v>243</v>
      </c>
      <c r="H64" s="2" t="s">
        <v>15</v>
      </c>
      <c r="I64" s="3" t="s">
        <v>16</v>
      </c>
      <c r="J64" s="2"/>
    </row>
    <row r="65" customFormat="false" ht="15" hidden="false" customHeight="false" outlineLevel="0" collapsed="false">
      <c r="A65" s="2" t="n">
        <v>64</v>
      </c>
      <c r="B65" s="2" t="n">
        <v>13</v>
      </c>
      <c r="C65" s="2" t="s">
        <v>227</v>
      </c>
      <c r="D65" s="2" t="s">
        <v>234</v>
      </c>
      <c r="E65" s="2" t="s">
        <v>244</v>
      </c>
      <c r="F65" s="2" t="s">
        <v>245</v>
      </c>
      <c r="G65" s="2" t="s">
        <v>246</v>
      </c>
      <c r="H65" s="2" t="s">
        <v>15</v>
      </c>
      <c r="I65" s="3" t="s">
        <v>16</v>
      </c>
      <c r="J65" s="2"/>
    </row>
    <row r="66" customFormat="false" ht="15" hidden="false" customHeight="false" outlineLevel="0" collapsed="false">
      <c r="A66" s="2" t="n">
        <v>65</v>
      </c>
      <c r="B66" s="2" t="n">
        <v>13</v>
      </c>
      <c r="C66" s="2" t="s">
        <v>227</v>
      </c>
      <c r="D66" s="2" t="s">
        <v>247</v>
      </c>
      <c r="E66" s="2" t="s">
        <v>248</v>
      </c>
      <c r="F66" s="2" t="s">
        <v>249</v>
      </c>
      <c r="G66" s="2" t="s">
        <v>250</v>
      </c>
      <c r="H66" s="2" t="s">
        <v>15</v>
      </c>
      <c r="I66" s="3" t="s">
        <v>16</v>
      </c>
      <c r="J66" s="2"/>
    </row>
    <row r="67" customFormat="false" ht="15" hidden="false" customHeight="false" outlineLevel="0" collapsed="false">
      <c r="A67" s="2" t="n">
        <v>66</v>
      </c>
      <c r="B67" s="2" t="n">
        <v>14</v>
      </c>
      <c r="C67" s="2" t="s">
        <v>251</v>
      </c>
      <c r="D67" s="2" t="s">
        <v>252</v>
      </c>
      <c r="E67" s="2" t="s">
        <v>253</v>
      </c>
      <c r="F67" s="2" t="s">
        <v>254</v>
      </c>
      <c r="G67" s="2" t="s">
        <v>255</v>
      </c>
      <c r="H67" s="2" t="s">
        <v>15</v>
      </c>
      <c r="I67" s="3" t="s">
        <v>16</v>
      </c>
      <c r="J67" s="2"/>
    </row>
    <row r="68" customFormat="false" ht="15" hidden="false" customHeight="false" outlineLevel="0" collapsed="false">
      <c r="A68" s="2" t="n">
        <v>67</v>
      </c>
      <c r="B68" s="2" t="n">
        <v>14</v>
      </c>
      <c r="C68" s="2" t="s">
        <v>251</v>
      </c>
      <c r="D68" s="2" t="s">
        <v>256</v>
      </c>
      <c r="E68" s="2" t="s">
        <v>257</v>
      </c>
      <c r="F68" s="2" t="s">
        <v>258</v>
      </c>
      <c r="G68" s="2" t="s">
        <v>259</v>
      </c>
      <c r="H68" s="2" t="s">
        <v>15</v>
      </c>
      <c r="I68" s="3" t="s">
        <v>16</v>
      </c>
      <c r="J68" s="2"/>
    </row>
    <row r="69" customFormat="false" ht="15" hidden="false" customHeight="false" outlineLevel="0" collapsed="false">
      <c r="A69" s="2" t="n">
        <v>68</v>
      </c>
      <c r="B69" s="2" t="n">
        <v>14</v>
      </c>
      <c r="C69" s="2" t="s">
        <v>251</v>
      </c>
      <c r="D69" s="2" t="s">
        <v>256</v>
      </c>
      <c r="E69" s="2" t="s">
        <v>260</v>
      </c>
      <c r="F69" s="2" t="s">
        <v>261</v>
      </c>
      <c r="G69" s="2" t="s">
        <v>262</v>
      </c>
      <c r="H69" s="2" t="s">
        <v>15</v>
      </c>
      <c r="I69" s="3" t="s">
        <v>16</v>
      </c>
      <c r="J69" s="2"/>
    </row>
    <row r="70" customFormat="false" ht="15" hidden="false" customHeight="false" outlineLevel="0" collapsed="false">
      <c r="A70" s="2" t="n">
        <v>69</v>
      </c>
      <c r="B70" s="2" t="n">
        <v>14</v>
      </c>
      <c r="C70" s="2" t="s">
        <v>251</v>
      </c>
      <c r="D70" s="2" t="s">
        <v>256</v>
      </c>
      <c r="E70" s="2" t="s">
        <v>263</v>
      </c>
      <c r="F70" s="2" t="s">
        <v>264</v>
      </c>
      <c r="G70" s="2" t="s">
        <v>265</v>
      </c>
      <c r="H70" s="2" t="s">
        <v>15</v>
      </c>
      <c r="I70" s="3" t="s">
        <v>16</v>
      </c>
      <c r="J70" s="2"/>
    </row>
    <row r="71" customFormat="false" ht="15" hidden="false" customHeight="false" outlineLevel="0" collapsed="false">
      <c r="A71" s="2" t="n">
        <v>70</v>
      </c>
      <c r="B71" s="2" t="n">
        <v>14</v>
      </c>
      <c r="C71" s="2" t="s">
        <v>251</v>
      </c>
      <c r="D71" s="2" t="s">
        <v>256</v>
      </c>
      <c r="E71" s="2" t="s">
        <v>266</v>
      </c>
      <c r="F71" s="2" t="s">
        <v>267</v>
      </c>
      <c r="G71" s="2" t="s">
        <v>268</v>
      </c>
      <c r="H71" s="2" t="s">
        <v>15</v>
      </c>
      <c r="I71" s="3" t="s">
        <v>16</v>
      </c>
      <c r="J71" s="2"/>
    </row>
    <row r="72" customFormat="false" ht="15" hidden="false" customHeight="false" outlineLevel="0" collapsed="false">
      <c r="A72" s="2" t="n">
        <v>71</v>
      </c>
      <c r="B72" s="2" t="n">
        <v>15</v>
      </c>
      <c r="C72" s="2" t="s">
        <v>251</v>
      </c>
      <c r="D72" s="2" t="s">
        <v>256</v>
      </c>
      <c r="E72" s="2" t="s">
        <v>269</v>
      </c>
      <c r="F72" s="2" t="s">
        <v>270</v>
      </c>
      <c r="G72" s="2" t="s">
        <v>271</v>
      </c>
      <c r="H72" s="2" t="s">
        <v>15</v>
      </c>
      <c r="I72" s="3" t="s">
        <v>16</v>
      </c>
      <c r="J72" s="2"/>
    </row>
    <row r="73" customFormat="false" ht="15" hidden="false" customHeight="false" outlineLevel="0" collapsed="false">
      <c r="A73" s="2" t="n">
        <v>72</v>
      </c>
      <c r="B73" s="2" t="n">
        <v>15</v>
      </c>
      <c r="C73" s="2" t="s">
        <v>251</v>
      </c>
      <c r="D73" s="2" t="s">
        <v>272</v>
      </c>
      <c r="E73" s="2" t="s">
        <v>273</v>
      </c>
      <c r="F73" s="2" t="s">
        <v>274</v>
      </c>
      <c r="G73" s="2" t="s">
        <v>275</v>
      </c>
      <c r="H73" s="2" t="s">
        <v>15</v>
      </c>
      <c r="I73" s="3" t="s">
        <v>16</v>
      </c>
      <c r="J73" s="2"/>
    </row>
    <row r="74" customFormat="false" ht="15" hidden="false" customHeight="false" outlineLevel="0" collapsed="false">
      <c r="A74" s="2" t="n">
        <v>73</v>
      </c>
      <c r="B74" s="2" t="n">
        <v>15</v>
      </c>
      <c r="C74" s="2" t="s">
        <v>276</v>
      </c>
      <c r="D74" s="2" t="s">
        <v>277</v>
      </c>
      <c r="E74" s="2" t="s">
        <v>278</v>
      </c>
      <c r="F74" s="2" t="s">
        <v>279</v>
      </c>
      <c r="G74" s="2" t="s">
        <v>280</v>
      </c>
      <c r="H74" s="2" t="s">
        <v>15</v>
      </c>
      <c r="I74" s="3" t="s">
        <v>16</v>
      </c>
      <c r="J74" s="2"/>
    </row>
    <row r="75" customFormat="false" ht="15" hidden="false" customHeight="false" outlineLevel="0" collapsed="false">
      <c r="A75" s="2" t="n">
        <v>74</v>
      </c>
      <c r="B75" s="2" t="n">
        <v>15</v>
      </c>
      <c r="C75" s="2" t="s">
        <v>276</v>
      </c>
      <c r="D75" s="2" t="s">
        <v>277</v>
      </c>
      <c r="E75" s="2" t="s">
        <v>281</v>
      </c>
      <c r="F75" s="2" t="s">
        <v>282</v>
      </c>
      <c r="G75" s="2" t="s">
        <v>283</v>
      </c>
      <c r="H75" s="2" t="s">
        <v>15</v>
      </c>
      <c r="I75" s="3" t="s">
        <v>16</v>
      </c>
      <c r="J75" s="2"/>
    </row>
    <row r="76" customFormat="false" ht="28.35" hidden="false" customHeight="false" outlineLevel="0" collapsed="false">
      <c r="A76" s="2" t="n">
        <v>75</v>
      </c>
      <c r="B76" s="2" t="n">
        <v>15</v>
      </c>
      <c r="C76" s="2" t="s">
        <v>276</v>
      </c>
      <c r="D76" s="2" t="s">
        <v>277</v>
      </c>
      <c r="E76" s="2" t="s">
        <v>284</v>
      </c>
      <c r="F76" s="2" t="s">
        <v>285</v>
      </c>
      <c r="G76" s="2" t="s">
        <v>286</v>
      </c>
      <c r="H76" s="2" t="s">
        <v>15</v>
      </c>
      <c r="I76" s="3" t="s">
        <v>16</v>
      </c>
      <c r="J76" s="2"/>
    </row>
    <row r="77" customFormat="false" ht="15" hidden="false" customHeight="false" outlineLevel="0" collapsed="false">
      <c r="A77" s="2" t="n">
        <v>76</v>
      </c>
      <c r="B77" s="2" t="n">
        <v>16</v>
      </c>
      <c r="C77" s="2" t="s">
        <v>276</v>
      </c>
      <c r="D77" s="2" t="s">
        <v>277</v>
      </c>
      <c r="E77" s="2" t="s">
        <v>287</v>
      </c>
      <c r="F77" s="2" t="s">
        <v>288</v>
      </c>
      <c r="G77" s="2" t="s">
        <v>289</v>
      </c>
      <c r="H77" s="2" t="s">
        <v>15</v>
      </c>
      <c r="I77" s="3" t="s">
        <v>16</v>
      </c>
      <c r="J77" s="2"/>
    </row>
    <row r="78" customFormat="false" ht="15" hidden="false" customHeight="false" outlineLevel="0" collapsed="false">
      <c r="A78" s="2" t="n">
        <v>77</v>
      </c>
      <c r="B78" s="2" t="n">
        <v>16</v>
      </c>
      <c r="C78" s="2" t="s">
        <v>276</v>
      </c>
      <c r="D78" s="2" t="s">
        <v>277</v>
      </c>
      <c r="E78" s="2" t="s">
        <v>290</v>
      </c>
      <c r="F78" s="2" t="s">
        <v>291</v>
      </c>
      <c r="G78" s="2" t="s">
        <v>292</v>
      </c>
      <c r="H78" s="2" t="s">
        <v>15</v>
      </c>
      <c r="I78" s="3" t="s">
        <v>16</v>
      </c>
      <c r="J78" s="2"/>
    </row>
    <row r="79" customFormat="false" ht="15" hidden="false" customHeight="false" outlineLevel="0" collapsed="false">
      <c r="A79" s="2" t="n">
        <v>78</v>
      </c>
      <c r="B79" s="2" t="n">
        <v>16</v>
      </c>
      <c r="C79" s="2" t="s">
        <v>276</v>
      </c>
      <c r="D79" s="2" t="s">
        <v>277</v>
      </c>
      <c r="E79" s="2" t="s">
        <v>293</v>
      </c>
      <c r="F79" s="2" t="s">
        <v>294</v>
      </c>
      <c r="G79" s="2" t="s">
        <v>295</v>
      </c>
      <c r="H79" s="2" t="s">
        <v>15</v>
      </c>
      <c r="I79" s="3" t="s">
        <v>16</v>
      </c>
      <c r="J79" s="2"/>
    </row>
    <row r="80" customFormat="false" ht="15" hidden="false" customHeight="false" outlineLevel="0" collapsed="false">
      <c r="A80" s="2" t="n">
        <v>79</v>
      </c>
      <c r="B80" s="2" t="n">
        <v>16</v>
      </c>
      <c r="C80" s="2" t="s">
        <v>276</v>
      </c>
      <c r="D80" s="2" t="s">
        <v>296</v>
      </c>
      <c r="E80" s="2" t="s">
        <v>297</v>
      </c>
      <c r="F80" s="2" t="s">
        <v>298</v>
      </c>
      <c r="G80" s="2" t="s">
        <v>299</v>
      </c>
      <c r="H80" s="2" t="s">
        <v>15</v>
      </c>
      <c r="I80" s="3" t="s">
        <v>16</v>
      </c>
      <c r="J80" s="2"/>
    </row>
    <row r="81" customFormat="false" ht="41.75" hidden="false" customHeight="false" outlineLevel="0" collapsed="false">
      <c r="A81" s="2" t="n">
        <v>80</v>
      </c>
      <c r="B81" s="2" t="n">
        <v>16</v>
      </c>
      <c r="C81" s="2" t="s">
        <v>276</v>
      </c>
      <c r="D81" s="2" t="s">
        <v>300</v>
      </c>
      <c r="E81" s="2" t="s">
        <v>301</v>
      </c>
      <c r="F81" s="2" t="s">
        <v>302</v>
      </c>
      <c r="G81" s="2" t="s">
        <v>303</v>
      </c>
      <c r="H81" s="2" t="s">
        <v>15</v>
      </c>
      <c r="I81" s="3" t="s">
        <v>16</v>
      </c>
      <c r="J81" s="2"/>
    </row>
    <row r="82" customFormat="false" ht="15" hidden="false" customHeight="false" outlineLevel="0" collapsed="false">
      <c r="A82" s="2" t="n">
        <v>81</v>
      </c>
      <c r="B82" s="2" t="n">
        <v>17</v>
      </c>
      <c r="C82" s="2" t="s">
        <v>304</v>
      </c>
      <c r="D82" s="2" t="s">
        <v>305</v>
      </c>
      <c r="E82" s="2" t="s">
        <v>306</v>
      </c>
      <c r="F82" s="2" t="s">
        <v>307</v>
      </c>
      <c r="G82" s="2" t="s">
        <v>308</v>
      </c>
      <c r="H82" s="2" t="s">
        <v>15</v>
      </c>
      <c r="I82" s="3" t="s">
        <v>16</v>
      </c>
      <c r="J82" s="2"/>
    </row>
    <row r="83" customFormat="false" ht="15" hidden="false" customHeight="false" outlineLevel="0" collapsed="false">
      <c r="A83" s="2" t="n">
        <v>82</v>
      </c>
      <c r="B83" s="2" t="n">
        <v>17</v>
      </c>
      <c r="C83" s="2" t="s">
        <v>304</v>
      </c>
      <c r="D83" s="2" t="s">
        <v>305</v>
      </c>
      <c r="E83" s="2" t="s">
        <v>309</v>
      </c>
      <c r="F83" s="2" t="s">
        <v>310</v>
      </c>
      <c r="G83" s="2" t="s">
        <v>311</v>
      </c>
      <c r="H83" s="2" t="s">
        <v>15</v>
      </c>
      <c r="I83" s="3" t="s">
        <v>16</v>
      </c>
      <c r="J83" s="2"/>
    </row>
    <row r="84" customFormat="false" ht="15" hidden="false" customHeight="false" outlineLevel="0" collapsed="false">
      <c r="A84" s="2" t="n">
        <v>83</v>
      </c>
      <c r="B84" s="2" t="n">
        <v>17</v>
      </c>
      <c r="C84" s="2" t="s">
        <v>304</v>
      </c>
      <c r="D84" s="2" t="s">
        <v>305</v>
      </c>
      <c r="E84" s="2" t="s">
        <v>312</v>
      </c>
      <c r="F84" s="2" t="s">
        <v>313</v>
      </c>
      <c r="G84" s="2" t="s">
        <v>314</v>
      </c>
      <c r="H84" s="2" t="s">
        <v>15</v>
      </c>
      <c r="I84" s="3" t="s">
        <v>16</v>
      </c>
      <c r="J84" s="2"/>
    </row>
    <row r="85" customFormat="false" ht="15" hidden="false" customHeight="false" outlineLevel="0" collapsed="false">
      <c r="A85" s="2" t="n">
        <v>84</v>
      </c>
      <c r="B85" s="2" t="n">
        <v>17</v>
      </c>
      <c r="C85" s="2" t="s">
        <v>304</v>
      </c>
      <c r="D85" s="2" t="s">
        <v>315</v>
      </c>
      <c r="E85" s="2" t="s">
        <v>316</v>
      </c>
      <c r="F85" s="2" t="s">
        <v>317</v>
      </c>
      <c r="G85" s="2" t="s">
        <v>318</v>
      </c>
      <c r="H85" s="2" t="s">
        <v>15</v>
      </c>
      <c r="I85" s="3" t="s">
        <v>16</v>
      </c>
      <c r="J85" s="2"/>
    </row>
    <row r="86" customFormat="false" ht="15" hidden="false" customHeight="false" outlineLevel="0" collapsed="false">
      <c r="A86" s="2" t="n">
        <v>85</v>
      </c>
      <c r="B86" s="2" t="n">
        <v>17</v>
      </c>
      <c r="C86" s="2" t="s">
        <v>304</v>
      </c>
      <c r="D86" s="2" t="s">
        <v>315</v>
      </c>
      <c r="E86" s="2" t="s">
        <v>319</v>
      </c>
      <c r="F86" s="2" t="s">
        <v>320</v>
      </c>
      <c r="G86" s="2" t="s">
        <v>321</v>
      </c>
      <c r="H86" s="2" t="s">
        <v>15</v>
      </c>
      <c r="I86" s="3" t="s">
        <v>16</v>
      </c>
      <c r="J86" s="2"/>
    </row>
    <row r="87" customFormat="false" ht="15" hidden="false" customHeight="false" outlineLevel="0" collapsed="false">
      <c r="A87" s="2" t="n">
        <v>86</v>
      </c>
      <c r="B87" s="2" t="n">
        <v>18</v>
      </c>
      <c r="C87" s="2" t="s">
        <v>304</v>
      </c>
      <c r="D87" s="2" t="s">
        <v>315</v>
      </c>
      <c r="E87" s="2" t="s">
        <v>322</v>
      </c>
      <c r="F87" s="2" t="s">
        <v>323</v>
      </c>
      <c r="G87" s="2" t="s">
        <v>324</v>
      </c>
      <c r="H87" s="2" t="s">
        <v>15</v>
      </c>
      <c r="I87" s="3" t="s">
        <v>16</v>
      </c>
      <c r="J87" s="2"/>
    </row>
    <row r="88" customFormat="false" ht="15" hidden="false" customHeight="false" outlineLevel="0" collapsed="false">
      <c r="A88" s="2" t="n">
        <v>87</v>
      </c>
      <c r="B88" s="2" t="n">
        <v>18</v>
      </c>
      <c r="C88" s="2" t="s">
        <v>304</v>
      </c>
      <c r="D88" s="2" t="s">
        <v>325</v>
      </c>
      <c r="E88" s="2" t="s">
        <v>326</v>
      </c>
      <c r="F88" s="2" t="s">
        <v>327</v>
      </c>
      <c r="G88" s="2" t="s">
        <v>328</v>
      </c>
      <c r="H88" s="2" t="s">
        <v>15</v>
      </c>
      <c r="I88" s="3" t="s">
        <v>16</v>
      </c>
      <c r="J88" s="2"/>
    </row>
    <row r="89" customFormat="false" ht="15" hidden="false" customHeight="false" outlineLevel="0" collapsed="false">
      <c r="A89" s="2" t="n">
        <v>88</v>
      </c>
      <c r="B89" s="2" t="n">
        <v>18</v>
      </c>
      <c r="C89" s="2" t="s">
        <v>304</v>
      </c>
      <c r="D89" s="2" t="s">
        <v>325</v>
      </c>
      <c r="E89" s="2" t="s">
        <v>329</v>
      </c>
      <c r="F89" s="2" t="s">
        <v>330</v>
      </c>
      <c r="G89" s="2" t="s">
        <v>325</v>
      </c>
      <c r="H89" s="2" t="s">
        <v>15</v>
      </c>
      <c r="I89" s="3" t="s">
        <v>16</v>
      </c>
      <c r="J89" s="2"/>
    </row>
    <row r="90" customFormat="false" ht="41.75" hidden="false" customHeight="false" outlineLevel="0" collapsed="false">
      <c r="A90" s="2" t="n">
        <v>89</v>
      </c>
      <c r="B90" s="2" t="n">
        <v>18</v>
      </c>
      <c r="C90" s="2" t="s">
        <v>331</v>
      </c>
      <c r="D90" s="2" t="s">
        <v>332</v>
      </c>
      <c r="E90" s="2" t="s">
        <v>333</v>
      </c>
      <c r="F90" s="2" t="s">
        <v>334</v>
      </c>
      <c r="G90" s="2" t="s">
        <v>332</v>
      </c>
      <c r="H90" s="2" t="s">
        <v>15</v>
      </c>
      <c r="I90" s="3" t="s">
        <v>16</v>
      </c>
      <c r="J90" s="2"/>
    </row>
    <row r="91" customFormat="false" ht="15" hidden="false" customHeight="false" outlineLevel="0" collapsed="false">
      <c r="A91" s="2" t="n">
        <v>90</v>
      </c>
      <c r="B91" s="2" t="n">
        <v>18</v>
      </c>
      <c r="C91" s="2" t="s">
        <v>331</v>
      </c>
      <c r="D91" s="2" t="s">
        <v>335</v>
      </c>
      <c r="E91" s="2" t="s">
        <v>336</v>
      </c>
      <c r="F91" s="2" t="s">
        <v>337</v>
      </c>
      <c r="G91" s="2" t="s">
        <v>338</v>
      </c>
      <c r="H91" s="2" t="s">
        <v>15</v>
      </c>
      <c r="I91" s="3" t="s">
        <v>16</v>
      </c>
      <c r="J91" s="2"/>
    </row>
    <row r="92" customFormat="false" ht="15" hidden="false" customHeight="false" outlineLevel="0" collapsed="false">
      <c r="A92" s="2" t="n">
        <v>91</v>
      </c>
      <c r="B92" s="2" t="n">
        <v>19</v>
      </c>
      <c r="C92" s="2" t="s">
        <v>331</v>
      </c>
      <c r="D92" s="2" t="s">
        <v>339</v>
      </c>
      <c r="E92" s="2" t="s">
        <v>340</v>
      </c>
      <c r="F92" s="2" t="s">
        <v>341</v>
      </c>
      <c r="G92" s="2" t="s">
        <v>340</v>
      </c>
      <c r="H92" s="2" t="s">
        <v>15</v>
      </c>
      <c r="I92" s="3" t="s">
        <v>16</v>
      </c>
      <c r="J92" s="2"/>
    </row>
    <row r="93" customFormat="false" ht="15" hidden="false" customHeight="false" outlineLevel="0" collapsed="false">
      <c r="A93" s="2" t="n">
        <v>92</v>
      </c>
      <c r="B93" s="2" t="n">
        <v>19</v>
      </c>
      <c r="C93" s="2" t="s">
        <v>331</v>
      </c>
      <c r="D93" s="2" t="s">
        <v>342</v>
      </c>
      <c r="E93" s="2" t="s">
        <v>343</v>
      </c>
      <c r="F93" s="2" t="s">
        <v>344</v>
      </c>
      <c r="G93" s="2" t="s">
        <v>342</v>
      </c>
      <c r="H93" s="2" t="s">
        <v>15</v>
      </c>
      <c r="I93" s="3" t="s">
        <v>16</v>
      </c>
      <c r="J93" s="2"/>
    </row>
    <row r="94" customFormat="false" ht="15" hidden="false" customHeight="false" outlineLevel="0" collapsed="false">
      <c r="A94" s="2" t="n">
        <v>93</v>
      </c>
      <c r="B94" s="2" t="n">
        <v>19</v>
      </c>
      <c r="C94" s="2" t="s">
        <v>331</v>
      </c>
      <c r="D94" s="2" t="s">
        <v>345</v>
      </c>
      <c r="E94" s="2" t="s">
        <v>346</v>
      </c>
      <c r="F94" s="2" t="s">
        <v>347</v>
      </c>
      <c r="G94" s="2" t="s">
        <v>345</v>
      </c>
      <c r="H94" s="2" t="s">
        <v>15</v>
      </c>
      <c r="I94" s="3" t="s">
        <v>16</v>
      </c>
      <c r="J94" s="2"/>
    </row>
    <row r="95" customFormat="false" ht="15" hidden="false" customHeight="false" outlineLevel="0" collapsed="false">
      <c r="A95" s="2" t="n">
        <v>94</v>
      </c>
      <c r="B95" s="2" t="n">
        <v>19</v>
      </c>
      <c r="C95" s="2" t="s">
        <v>331</v>
      </c>
      <c r="D95" s="2" t="s">
        <v>339</v>
      </c>
      <c r="E95" s="2" t="s">
        <v>348</v>
      </c>
      <c r="F95" s="2" t="s">
        <v>349</v>
      </c>
      <c r="G95" s="2" t="s">
        <v>272</v>
      </c>
      <c r="H95" s="2" t="s">
        <v>15</v>
      </c>
      <c r="I95" s="3" t="s">
        <v>16</v>
      </c>
      <c r="J95" s="2"/>
    </row>
    <row r="96" customFormat="false" ht="41.75" hidden="false" customHeight="false" outlineLevel="0" collapsed="false">
      <c r="A96" s="2" t="n">
        <v>95</v>
      </c>
      <c r="B96" s="2" t="n">
        <v>19</v>
      </c>
      <c r="C96" s="2" t="s">
        <v>350</v>
      </c>
      <c r="D96" s="2" t="s">
        <v>351</v>
      </c>
      <c r="E96" s="2" t="s">
        <v>352</v>
      </c>
      <c r="F96" s="2" t="s">
        <v>353</v>
      </c>
      <c r="G96" s="2" t="s">
        <v>354</v>
      </c>
      <c r="H96" s="2" t="s">
        <v>15</v>
      </c>
      <c r="I96" s="3" t="s">
        <v>16</v>
      </c>
      <c r="J96" s="2"/>
    </row>
    <row r="97" customFormat="false" ht="15" hidden="false" customHeight="false" outlineLevel="0" collapsed="false">
      <c r="A97" s="2" t="n">
        <v>96</v>
      </c>
      <c r="B97" s="2" t="n">
        <v>20</v>
      </c>
      <c r="C97" s="2" t="s">
        <v>350</v>
      </c>
      <c r="D97" s="2" t="s">
        <v>355</v>
      </c>
      <c r="E97" s="2" t="s">
        <v>356</v>
      </c>
      <c r="F97" s="2" t="s">
        <v>357</v>
      </c>
      <c r="G97" s="2" t="s">
        <v>358</v>
      </c>
      <c r="H97" s="2" t="s">
        <v>15</v>
      </c>
      <c r="I97" s="3" t="s">
        <v>16</v>
      </c>
      <c r="J97" s="2"/>
    </row>
    <row r="98" customFormat="false" ht="15" hidden="false" customHeight="false" outlineLevel="0" collapsed="false">
      <c r="A98" s="2" t="n">
        <v>97</v>
      </c>
      <c r="B98" s="2" t="n">
        <v>20</v>
      </c>
      <c r="C98" s="2" t="s">
        <v>350</v>
      </c>
      <c r="D98" s="2" t="s">
        <v>359</v>
      </c>
      <c r="E98" s="2" t="s">
        <v>360</v>
      </c>
      <c r="F98" s="2" t="s">
        <v>361</v>
      </c>
      <c r="G98" s="2" t="s">
        <v>362</v>
      </c>
      <c r="H98" s="2" t="s">
        <v>15</v>
      </c>
      <c r="I98" s="3" t="s">
        <v>16</v>
      </c>
      <c r="J98" s="2"/>
    </row>
    <row r="99" customFormat="false" ht="15" hidden="false" customHeight="false" outlineLevel="0" collapsed="false">
      <c r="A99" s="2" t="n">
        <v>98</v>
      </c>
      <c r="B99" s="2" t="n">
        <v>20</v>
      </c>
      <c r="C99" s="2" t="s">
        <v>350</v>
      </c>
      <c r="D99" s="2" t="s">
        <v>363</v>
      </c>
      <c r="E99" s="2" t="s">
        <v>364</v>
      </c>
      <c r="F99" s="2" t="s">
        <v>365</v>
      </c>
      <c r="G99" s="2" t="s">
        <v>366</v>
      </c>
      <c r="H99" s="2" t="s">
        <v>15</v>
      </c>
      <c r="I99" s="3" t="s">
        <v>16</v>
      </c>
      <c r="J99" s="2"/>
    </row>
    <row r="100" customFormat="false" ht="15" hidden="false" customHeight="false" outlineLevel="0" collapsed="false">
      <c r="A100" s="2" t="n">
        <v>99</v>
      </c>
      <c r="B100" s="2" t="n">
        <v>20</v>
      </c>
      <c r="C100" s="2" t="s">
        <v>350</v>
      </c>
      <c r="D100" s="2" t="s">
        <v>367</v>
      </c>
      <c r="E100" s="2" t="s">
        <v>368</v>
      </c>
      <c r="F100" s="2" t="s">
        <v>369</v>
      </c>
      <c r="G100" s="2" t="s">
        <v>370</v>
      </c>
      <c r="H100" s="2" t="s">
        <v>15</v>
      </c>
      <c r="I100" s="3" t="s">
        <v>16</v>
      </c>
      <c r="J100" s="2"/>
    </row>
    <row r="101" customFormat="false" ht="15" hidden="false" customHeight="false" outlineLevel="0" collapsed="false">
      <c r="A101" s="2" t="n">
        <v>100</v>
      </c>
      <c r="B101" s="2" t="n">
        <v>20</v>
      </c>
      <c r="C101" s="2" t="s">
        <v>350</v>
      </c>
      <c r="D101" s="2" t="s">
        <v>367</v>
      </c>
      <c r="E101" s="2" t="s">
        <v>371</v>
      </c>
      <c r="F101" s="2" t="s">
        <v>372</v>
      </c>
      <c r="G101" s="2" t="s">
        <v>373</v>
      </c>
      <c r="H101" s="2" t="s">
        <v>15</v>
      </c>
      <c r="I101" s="3" t="s">
        <v>16</v>
      </c>
      <c r="J101" s="2"/>
    </row>
    <row r="102" customFormat="false" ht="15" hidden="false" customHeight="false" outlineLevel="0" collapsed="false">
      <c r="A102" s="2" t="n">
        <v>101</v>
      </c>
      <c r="B102" s="2" t="n">
        <v>21</v>
      </c>
      <c r="C102" s="2" t="s">
        <v>350</v>
      </c>
      <c r="D102" s="2" t="s">
        <v>367</v>
      </c>
      <c r="E102" s="2" t="s">
        <v>374</v>
      </c>
      <c r="F102" s="2" t="s">
        <v>375</v>
      </c>
      <c r="G102" s="2" t="s">
        <v>376</v>
      </c>
      <c r="H102" s="2" t="s">
        <v>15</v>
      </c>
      <c r="I102" s="3" t="s">
        <v>16</v>
      </c>
      <c r="J102" s="2"/>
    </row>
    <row r="103" customFormat="false" ht="15" hidden="false" customHeight="false" outlineLevel="0" collapsed="false">
      <c r="A103" s="2" t="n">
        <v>102</v>
      </c>
      <c r="B103" s="2" t="n">
        <v>21</v>
      </c>
      <c r="C103" s="2" t="s">
        <v>350</v>
      </c>
      <c r="D103" s="2" t="s">
        <v>367</v>
      </c>
      <c r="E103" s="2" t="s">
        <v>377</v>
      </c>
      <c r="F103" s="2" t="s">
        <v>378</v>
      </c>
      <c r="G103" s="2" t="s">
        <v>379</v>
      </c>
      <c r="H103" s="2" t="s">
        <v>15</v>
      </c>
      <c r="I103" s="3" t="s">
        <v>16</v>
      </c>
      <c r="J103" s="2"/>
    </row>
    <row r="104" customFormat="false" ht="15" hidden="false" customHeight="false" outlineLevel="0" collapsed="false">
      <c r="A104" s="2" t="n">
        <v>103</v>
      </c>
      <c r="B104" s="2" t="n">
        <v>21</v>
      </c>
      <c r="C104" s="2" t="s">
        <v>350</v>
      </c>
      <c r="D104" s="2" t="s">
        <v>367</v>
      </c>
      <c r="E104" s="2" t="s">
        <v>380</v>
      </c>
      <c r="F104" s="2" t="s">
        <v>381</v>
      </c>
      <c r="G104" s="2" t="s">
        <v>382</v>
      </c>
      <c r="H104" s="2" t="s">
        <v>15</v>
      </c>
      <c r="I104" s="3" t="s">
        <v>16</v>
      </c>
      <c r="J104" s="2"/>
    </row>
    <row r="105" customFormat="false" ht="28.35" hidden="false" customHeight="false" outlineLevel="0" collapsed="false">
      <c r="A105" s="2" t="n">
        <v>104</v>
      </c>
      <c r="B105" s="2" t="n">
        <v>21</v>
      </c>
      <c r="C105" s="2" t="s">
        <v>350</v>
      </c>
      <c r="D105" s="2" t="s">
        <v>367</v>
      </c>
      <c r="E105" s="2" t="s">
        <v>383</v>
      </c>
      <c r="F105" s="2" t="s">
        <v>384</v>
      </c>
      <c r="G105" s="2" t="s">
        <v>385</v>
      </c>
      <c r="H105" s="2" t="s">
        <v>15</v>
      </c>
      <c r="I105" s="3" t="s">
        <v>16</v>
      </c>
      <c r="J105" s="2"/>
    </row>
    <row r="106" customFormat="false" ht="15" hidden="false" customHeight="false" outlineLevel="0" collapsed="false">
      <c r="A106" s="2" t="n">
        <v>105</v>
      </c>
      <c r="B106" s="2" t="n">
        <v>21</v>
      </c>
      <c r="C106" s="2" t="s">
        <v>350</v>
      </c>
      <c r="D106" s="2" t="s">
        <v>367</v>
      </c>
      <c r="E106" s="2" t="s">
        <v>386</v>
      </c>
      <c r="F106" s="2" t="s">
        <v>387</v>
      </c>
      <c r="G106" s="2" t="s">
        <v>388</v>
      </c>
      <c r="H106" s="2" t="s">
        <v>15</v>
      </c>
      <c r="I106" s="3" t="s">
        <v>16</v>
      </c>
      <c r="J106" s="2"/>
    </row>
    <row r="107" customFormat="false" ht="15" hidden="false" customHeight="false" outlineLevel="0" collapsed="false">
      <c r="A107" s="2" t="n">
        <v>106</v>
      </c>
      <c r="B107" s="2" t="n">
        <v>22</v>
      </c>
      <c r="C107" s="2" t="s">
        <v>350</v>
      </c>
      <c r="D107" s="2" t="s">
        <v>389</v>
      </c>
      <c r="E107" s="2" t="s">
        <v>390</v>
      </c>
      <c r="F107" s="2" t="s">
        <v>391</v>
      </c>
      <c r="G107" s="2" t="s">
        <v>392</v>
      </c>
      <c r="H107" s="2" t="s">
        <v>15</v>
      </c>
      <c r="I107" s="3" t="s">
        <v>16</v>
      </c>
      <c r="J107" s="2"/>
    </row>
    <row r="108" customFormat="false" ht="15" hidden="false" customHeight="false" outlineLevel="0" collapsed="false">
      <c r="A108" s="2" t="n">
        <v>107</v>
      </c>
      <c r="B108" s="2" t="n">
        <v>22</v>
      </c>
      <c r="C108" s="2" t="s">
        <v>350</v>
      </c>
      <c r="D108" s="2" t="s">
        <v>393</v>
      </c>
      <c r="E108" s="2" t="s">
        <v>394</v>
      </c>
      <c r="F108" s="2" t="s">
        <v>395</v>
      </c>
      <c r="G108" s="2" t="s">
        <v>396</v>
      </c>
      <c r="H108" s="2" t="s">
        <v>15</v>
      </c>
      <c r="I108" s="3" t="s">
        <v>16</v>
      </c>
      <c r="J108" s="2"/>
    </row>
    <row r="109" customFormat="false" ht="41.75" hidden="false" customHeight="false" outlineLevel="0" collapsed="false">
      <c r="A109" s="2" t="n">
        <v>108</v>
      </c>
      <c r="B109" s="2" t="n">
        <v>22</v>
      </c>
      <c r="C109" s="2" t="s">
        <v>350</v>
      </c>
      <c r="D109" s="2" t="s">
        <v>393</v>
      </c>
      <c r="E109" s="2" t="s">
        <v>397</v>
      </c>
      <c r="F109" s="2" t="s">
        <v>398</v>
      </c>
      <c r="G109" s="2" t="s">
        <v>399</v>
      </c>
      <c r="H109" s="2" t="s">
        <v>15</v>
      </c>
      <c r="I109" s="3" t="s">
        <v>16</v>
      </c>
      <c r="J109" s="2"/>
    </row>
    <row r="110" customFormat="false" ht="15" hidden="false" customHeight="false" outlineLevel="0" collapsed="false">
      <c r="A110" s="2" t="n">
        <v>109</v>
      </c>
      <c r="B110" s="2" t="n">
        <v>22</v>
      </c>
      <c r="C110" s="2" t="s">
        <v>350</v>
      </c>
      <c r="D110" s="2" t="s">
        <v>400</v>
      </c>
      <c r="E110" s="2" t="s">
        <v>401</v>
      </c>
      <c r="F110" s="2" t="s">
        <v>402</v>
      </c>
      <c r="G110" s="2" t="s">
        <v>403</v>
      </c>
      <c r="H110" s="2" t="s">
        <v>15</v>
      </c>
      <c r="I110" s="3" t="s">
        <v>16</v>
      </c>
      <c r="J110" s="2"/>
    </row>
    <row r="111" customFormat="false" ht="15" hidden="false" customHeight="false" outlineLevel="0" collapsed="false">
      <c r="A111" s="2" t="n">
        <v>110</v>
      </c>
      <c r="B111" s="2" t="n">
        <v>22</v>
      </c>
      <c r="C111" s="2" t="s">
        <v>404</v>
      </c>
      <c r="D111" s="2" t="s">
        <v>405</v>
      </c>
      <c r="E111" s="2" t="s">
        <v>406</v>
      </c>
      <c r="F111" s="2" t="s">
        <v>407</v>
      </c>
      <c r="G111" s="2" t="s">
        <v>408</v>
      </c>
      <c r="H111" s="2" t="s">
        <v>15</v>
      </c>
      <c r="I111" s="3" t="s">
        <v>16</v>
      </c>
      <c r="J111" s="2"/>
    </row>
    <row r="112" customFormat="false" ht="15" hidden="false" customHeight="false" outlineLevel="0" collapsed="false">
      <c r="A112" s="2" t="n">
        <v>111</v>
      </c>
      <c r="B112" s="2" t="n">
        <v>23</v>
      </c>
      <c r="C112" s="2" t="s">
        <v>404</v>
      </c>
      <c r="D112" s="2" t="s">
        <v>409</v>
      </c>
      <c r="E112" s="2" t="s">
        <v>410</v>
      </c>
      <c r="F112" s="2" t="s">
        <v>411</v>
      </c>
      <c r="G112" s="2" t="s">
        <v>412</v>
      </c>
      <c r="H112" s="2" t="s">
        <v>15</v>
      </c>
      <c r="I112" s="3" t="s">
        <v>16</v>
      </c>
      <c r="J112" s="2"/>
    </row>
    <row r="113" customFormat="false" ht="15" hidden="false" customHeight="false" outlineLevel="0" collapsed="false">
      <c r="A113" s="2" t="n">
        <v>112</v>
      </c>
      <c r="B113" s="2" t="n">
        <v>23</v>
      </c>
      <c r="C113" s="2" t="s">
        <v>404</v>
      </c>
      <c r="D113" s="2" t="s">
        <v>413</v>
      </c>
      <c r="E113" s="2" t="s">
        <v>414</v>
      </c>
      <c r="F113" s="2" t="s">
        <v>415</v>
      </c>
      <c r="G113" s="2" t="s">
        <v>416</v>
      </c>
      <c r="H113" s="2" t="s">
        <v>15</v>
      </c>
      <c r="I113" s="3" t="s">
        <v>16</v>
      </c>
      <c r="J113" s="2"/>
    </row>
    <row r="114" customFormat="false" ht="15" hidden="false" customHeight="false" outlineLevel="0" collapsed="false">
      <c r="A114" s="2" t="n">
        <v>113</v>
      </c>
      <c r="B114" s="2" t="n">
        <v>23</v>
      </c>
      <c r="C114" s="2" t="s">
        <v>404</v>
      </c>
      <c r="D114" s="2" t="s">
        <v>413</v>
      </c>
      <c r="E114" s="2" t="s">
        <v>417</v>
      </c>
      <c r="F114" s="2" t="s">
        <v>418</v>
      </c>
      <c r="G114" s="2" t="s">
        <v>419</v>
      </c>
      <c r="H114" s="2" t="s">
        <v>15</v>
      </c>
      <c r="I114" s="3" t="s">
        <v>16</v>
      </c>
      <c r="J114" s="2"/>
    </row>
    <row r="115" customFormat="false" ht="15" hidden="false" customHeight="false" outlineLevel="0" collapsed="false">
      <c r="A115" s="2" t="n">
        <v>114</v>
      </c>
      <c r="B115" s="2" t="n">
        <v>23</v>
      </c>
      <c r="C115" s="2" t="s">
        <v>404</v>
      </c>
      <c r="D115" s="2" t="s">
        <v>413</v>
      </c>
      <c r="E115" s="2" t="s">
        <v>420</v>
      </c>
      <c r="F115" s="2" t="s">
        <v>421</v>
      </c>
      <c r="G115" s="2" t="s">
        <v>422</v>
      </c>
      <c r="H115" s="2" t="s">
        <v>15</v>
      </c>
      <c r="I115" s="3" t="s">
        <v>16</v>
      </c>
      <c r="J115" s="2"/>
    </row>
    <row r="116" customFormat="false" ht="15" hidden="false" customHeight="false" outlineLevel="0" collapsed="false">
      <c r="A116" s="2" t="n">
        <v>115</v>
      </c>
      <c r="B116" s="2" t="n">
        <v>23</v>
      </c>
      <c r="C116" s="2" t="s">
        <v>404</v>
      </c>
      <c r="D116" s="2" t="s">
        <v>413</v>
      </c>
      <c r="E116" s="2" t="s">
        <v>423</v>
      </c>
      <c r="F116" s="2" t="s">
        <v>424</v>
      </c>
      <c r="G116" s="2" t="s">
        <v>425</v>
      </c>
      <c r="H116" s="2" t="s">
        <v>15</v>
      </c>
      <c r="I116" s="3" t="s">
        <v>16</v>
      </c>
      <c r="J116" s="2"/>
    </row>
    <row r="117" customFormat="false" ht="15" hidden="false" customHeight="false" outlineLevel="0" collapsed="false">
      <c r="A117" s="2" t="n">
        <v>116</v>
      </c>
      <c r="B117" s="2" t="n">
        <v>24</v>
      </c>
      <c r="C117" s="2" t="s">
        <v>404</v>
      </c>
      <c r="D117" s="2" t="s">
        <v>426</v>
      </c>
      <c r="E117" s="2" t="s">
        <v>427</v>
      </c>
      <c r="F117" s="2" t="s">
        <v>428</v>
      </c>
      <c r="G117" s="2" t="s">
        <v>426</v>
      </c>
      <c r="H117" s="2" t="s">
        <v>15</v>
      </c>
      <c r="I117" s="3" t="s">
        <v>16</v>
      </c>
      <c r="J117" s="2"/>
    </row>
    <row r="118" customFormat="false" ht="15" hidden="false" customHeight="false" outlineLevel="0" collapsed="false">
      <c r="A118" s="2" t="n">
        <v>117</v>
      </c>
      <c r="B118" s="2" t="n">
        <v>24</v>
      </c>
      <c r="C118" s="2" t="s">
        <v>404</v>
      </c>
      <c r="D118" s="2" t="s">
        <v>194</v>
      </c>
      <c r="E118" s="2" t="s">
        <v>429</v>
      </c>
      <c r="F118" s="2" t="s">
        <v>430</v>
      </c>
      <c r="G118" s="2" t="s">
        <v>431</v>
      </c>
      <c r="H118" s="2" t="s">
        <v>15</v>
      </c>
      <c r="I118" s="3" t="s">
        <v>16</v>
      </c>
      <c r="J118" s="2"/>
    </row>
    <row r="119" customFormat="false" ht="15" hidden="false" customHeight="false" outlineLevel="0" collapsed="false">
      <c r="A119" s="2" t="n">
        <v>118</v>
      </c>
      <c r="B119" s="2" t="n">
        <v>24</v>
      </c>
      <c r="C119" s="2" t="s">
        <v>404</v>
      </c>
      <c r="D119" s="2" t="s">
        <v>432</v>
      </c>
      <c r="E119" s="2" t="s">
        <v>433</v>
      </c>
      <c r="F119" s="2" t="s">
        <v>434</v>
      </c>
      <c r="G119" s="2" t="s">
        <v>432</v>
      </c>
      <c r="H119" s="2" t="s">
        <v>15</v>
      </c>
      <c r="I119" s="3" t="s">
        <v>16</v>
      </c>
      <c r="J119" s="2"/>
    </row>
    <row r="120" customFormat="false" ht="15" hidden="false" customHeight="false" outlineLevel="0" collapsed="false">
      <c r="A120" s="2" t="n">
        <v>119</v>
      </c>
      <c r="B120" s="2" t="n">
        <v>24</v>
      </c>
      <c r="C120" s="2" t="s">
        <v>404</v>
      </c>
      <c r="D120" s="2" t="s">
        <v>435</v>
      </c>
      <c r="E120" s="2" t="s">
        <v>436</v>
      </c>
      <c r="F120" s="2" t="s">
        <v>437</v>
      </c>
      <c r="G120" s="2" t="s">
        <v>435</v>
      </c>
      <c r="H120" s="2" t="s">
        <v>15</v>
      </c>
      <c r="I120" s="3" t="s">
        <v>16</v>
      </c>
      <c r="J120" s="2"/>
    </row>
    <row r="121" customFormat="false" ht="15" hidden="false" customHeight="false" outlineLevel="0" collapsed="false">
      <c r="A121" s="2" t="n">
        <v>120</v>
      </c>
      <c r="B121" s="2" t="n">
        <v>24</v>
      </c>
      <c r="C121" s="2" t="s">
        <v>438</v>
      </c>
      <c r="D121" s="2" t="s">
        <v>439</v>
      </c>
      <c r="E121" s="2" t="s">
        <v>440</v>
      </c>
      <c r="F121" s="2" t="s">
        <v>441</v>
      </c>
      <c r="G121" s="2" t="s">
        <v>442</v>
      </c>
      <c r="H121" s="2" t="s">
        <v>15</v>
      </c>
      <c r="I121" s="3" t="s">
        <v>16</v>
      </c>
      <c r="J121" s="2"/>
    </row>
    <row r="122" customFormat="false" ht="15" hidden="false" customHeight="false" outlineLevel="0" collapsed="false">
      <c r="A122" s="2" t="n">
        <v>121</v>
      </c>
      <c r="B122" s="2" t="n">
        <v>25</v>
      </c>
      <c r="C122" s="2" t="s">
        <v>438</v>
      </c>
      <c r="D122" s="2" t="s">
        <v>439</v>
      </c>
      <c r="E122" s="2" t="s">
        <v>443</v>
      </c>
      <c r="F122" s="2" t="s">
        <v>444</v>
      </c>
      <c r="G122" s="2" t="s">
        <v>445</v>
      </c>
      <c r="H122" s="2" t="s">
        <v>15</v>
      </c>
      <c r="I122" s="3" t="s">
        <v>16</v>
      </c>
      <c r="J122" s="2"/>
    </row>
    <row r="123" customFormat="false" ht="15" hidden="false" customHeight="false" outlineLevel="0" collapsed="false">
      <c r="A123" s="2" t="n">
        <v>122</v>
      </c>
      <c r="B123" s="2" t="n">
        <v>25</v>
      </c>
      <c r="C123" s="2" t="s">
        <v>438</v>
      </c>
      <c r="D123" s="2" t="s">
        <v>439</v>
      </c>
      <c r="E123" s="2" t="s">
        <v>446</v>
      </c>
      <c r="F123" s="2" t="s">
        <v>447</v>
      </c>
      <c r="G123" s="2" t="s">
        <v>448</v>
      </c>
      <c r="H123" s="2" t="s">
        <v>15</v>
      </c>
      <c r="I123" s="3" t="s">
        <v>16</v>
      </c>
      <c r="J123" s="2"/>
    </row>
    <row r="124" customFormat="false" ht="15" hidden="false" customHeight="false" outlineLevel="0" collapsed="false">
      <c r="A124" s="2" t="n">
        <v>123</v>
      </c>
      <c r="B124" s="2" t="n">
        <v>25</v>
      </c>
      <c r="C124" s="2" t="s">
        <v>438</v>
      </c>
      <c r="D124" s="2" t="s">
        <v>439</v>
      </c>
      <c r="E124" s="2" t="s">
        <v>449</v>
      </c>
      <c r="F124" s="2" t="s">
        <v>450</v>
      </c>
      <c r="G124" s="2" t="s">
        <v>451</v>
      </c>
      <c r="H124" s="2" t="s">
        <v>15</v>
      </c>
      <c r="I124" s="3" t="s">
        <v>16</v>
      </c>
      <c r="J124" s="2"/>
    </row>
    <row r="125" customFormat="false" ht="15" hidden="false" customHeight="false" outlineLevel="0" collapsed="false">
      <c r="A125" s="2" t="n">
        <v>124</v>
      </c>
      <c r="B125" s="2" t="n">
        <v>25</v>
      </c>
      <c r="C125" s="2" t="s">
        <v>438</v>
      </c>
      <c r="D125" s="2" t="s">
        <v>439</v>
      </c>
      <c r="E125" s="2" t="s">
        <v>452</v>
      </c>
      <c r="F125" s="2" t="s">
        <v>447</v>
      </c>
      <c r="G125" s="2" t="s">
        <v>453</v>
      </c>
      <c r="H125" s="2" t="s">
        <v>15</v>
      </c>
      <c r="I125" s="3" t="s">
        <v>16</v>
      </c>
      <c r="J125" s="2"/>
    </row>
    <row r="126" customFormat="false" ht="15" hidden="false" customHeight="false" outlineLevel="0" collapsed="false">
      <c r="A126" s="2" t="n">
        <v>125</v>
      </c>
      <c r="B126" s="2" t="n">
        <v>25</v>
      </c>
      <c r="C126" s="2" t="s">
        <v>438</v>
      </c>
      <c r="D126" s="2" t="s">
        <v>454</v>
      </c>
      <c r="E126" s="2" t="s">
        <v>455</v>
      </c>
      <c r="F126" s="2" t="s">
        <v>456</v>
      </c>
      <c r="G126" s="2" t="s">
        <v>457</v>
      </c>
      <c r="H126" s="2" t="s">
        <v>15</v>
      </c>
      <c r="I126" s="3" t="s">
        <v>16</v>
      </c>
      <c r="J126" s="2"/>
    </row>
    <row r="127" customFormat="false" ht="15" hidden="false" customHeight="false" outlineLevel="0" collapsed="false">
      <c r="A127" s="2" t="n">
        <v>126</v>
      </c>
      <c r="B127" s="2" t="n">
        <v>26</v>
      </c>
      <c r="C127" s="2" t="s">
        <v>438</v>
      </c>
      <c r="D127" s="2" t="s">
        <v>454</v>
      </c>
      <c r="E127" s="2" t="s">
        <v>458</v>
      </c>
      <c r="F127" s="2" t="s">
        <v>459</v>
      </c>
      <c r="G127" s="2" t="s">
        <v>460</v>
      </c>
      <c r="H127" s="2" t="s">
        <v>15</v>
      </c>
      <c r="I127" s="3" t="s">
        <v>16</v>
      </c>
      <c r="J127" s="2"/>
    </row>
    <row r="128" customFormat="false" ht="15" hidden="false" customHeight="false" outlineLevel="0" collapsed="false">
      <c r="A128" s="2" t="n">
        <v>127</v>
      </c>
      <c r="B128" s="2" t="n">
        <v>26</v>
      </c>
      <c r="C128" s="2" t="s">
        <v>438</v>
      </c>
      <c r="D128" s="2" t="s">
        <v>454</v>
      </c>
      <c r="E128" s="2" t="s">
        <v>461</v>
      </c>
      <c r="F128" s="2" t="s">
        <v>462</v>
      </c>
      <c r="G128" s="2" t="s">
        <v>463</v>
      </c>
      <c r="H128" s="2" t="s">
        <v>15</v>
      </c>
      <c r="I128" s="3" t="s">
        <v>16</v>
      </c>
      <c r="J128" s="2"/>
    </row>
    <row r="129" customFormat="false" ht="41.75" hidden="false" customHeight="false" outlineLevel="0" collapsed="false">
      <c r="A129" s="2" t="n">
        <v>128</v>
      </c>
      <c r="B129" s="2" t="n">
        <v>26</v>
      </c>
      <c r="C129" s="2" t="s">
        <v>438</v>
      </c>
      <c r="D129" s="2" t="s">
        <v>454</v>
      </c>
      <c r="E129" s="2" t="s">
        <v>464</v>
      </c>
      <c r="F129" s="2" t="s">
        <v>465</v>
      </c>
      <c r="G129" s="2" t="s">
        <v>466</v>
      </c>
      <c r="H129" s="2" t="s">
        <v>15</v>
      </c>
      <c r="I129" s="3" t="s">
        <v>16</v>
      </c>
      <c r="J129" s="2"/>
    </row>
    <row r="130" customFormat="false" ht="15" hidden="false" customHeight="false" outlineLevel="0" collapsed="false">
      <c r="A130" s="2" t="n">
        <v>129</v>
      </c>
      <c r="B130" s="2" t="n">
        <v>26</v>
      </c>
      <c r="C130" s="2" t="s">
        <v>438</v>
      </c>
      <c r="D130" s="2" t="s">
        <v>454</v>
      </c>
      <c r="E130" s="2" t="s">
        <v>467</v>
      </c>
      <c r="F130" s="2" t="s">
        <v>468</v>
      </c>
      <c r="G130" s="2" t="s">
        <v>469</v>
      </c>
      <c r="H130" s="2" t="s">
        <v>15</v>
      </c>
      <c r="I130" s="3" t="s">
        <v>16</v>
      </c>
      <c r="J130" s="2"/>
    </row>
    <row r="131" customFormat="false" ht="15" hidden="false" customHeight="false" outlineLevel="0" collapsed="false">
      <c r="A131" s="2" t="n">
        <v>130</v>
      </c>
      <c r="B131" s="2" t="n">
        <v>26</v>
      </c>
      <c r="C131" s="2" t="s">
        <v>438</v>
      </c>
      <c r="D131" s="2" t="s">
        <v>470</v>
      </c>
      <c r="E131" s="2" t="s">
        <v>471</v>
      </c>
      <c r="F131" s="2" t="s">
        <v>472</v>
      </c>
      <c r="G131" s="2" t="s">
        <v>473</v>
      </c>
      <c r="H131" s="2" t="s">
        <v>15</v>
      </c>
      <c r="I131" s="3" t="s">
        <v>16</v>
      </c>
      <c r="J131" s="2"/>
    </row>
    <row r="132" customFormat="false" ht="15" hidden="false" customHeight="false" outlineLevel="0" collapsed="false">
      <c r="A132" s="2" t="n">
        <v>131</v>
      </c>
      <c r="B132" s="2" t="n">
        <v>27</v>
      </c>
      <c r="C132" s="2" t="s">
        <v>474</v>
      </c>
      <c r="D132" s="2" t="s">
        <v>475</v>
      </c>
      <c r="E132" s="2" t="s">
        <v>476</v>
      </c>
      <c r="F132" s="2" t="s">
        <v>477</v>
      </c>
      <c r="G132" s="2" t="s">
        <v>478</v>
      </c>
      <c r="H132" s="2" t="s">
        <v>15</v>
      </c>
      <c r="I132" s="3" t="s">
        <v>16</v>
      </c>
      <c r="J132" s="2"/>
    </row>
    <row r="133" customFormat="false" ht="15" hidden="false" customHeight="false" outlineLevel="0" collapsed="false">
      <c r="A133" s="2" t="n">
        <v>132</v>
      </c>
      <c r="B133" s="2" t="n">
        <v>27</v>
      </c>
      <c r="C133" s="2" t="s">
        <v>474</v>
      </c>
      <c r="D133" s="2" t="s">
        <v>475</v>
      </c>
      <c r="E133" s="2" t="s">
        <v>479</v>
      </c>
      <c r="F133" s="2" t="s">
        <v>480</v>
      </c>
      <c r="G133" s="2" t="s">
        <v>479</v>
      </c>
      <c r="H133" s="2" t="s">
        <v>15</v>
      </c>
      <c r="I133" s="3" t="s">
        <v>16</v>
      </c>
      <c r="J133" s="2"/>
    </row>
    <row r="134" customFormat="false" ht="15" hidden="false" customHeight="false" outlineLevel="0" collapsed="false">
      <c r="A134" s="2" t="n">
        <v>133</v>
      </c>
      <c r="B134" s="2" t="n">
        <v>27</v>
      </c>
      <c r="C134" s="2" t="s">
        <v>474</v>
      </c>
      <c r="D134" s="2" t="s">
        <v>481</v>
      </c>
      <c r="E134" s="2" t="s">
        <v>482</v>
      </c>
      <c r="F134" s="2" t="s">
        <v>483</v>
      </c>
      <c r="G134" s="2" t="s">
        <v>484</v>
      </c>
      <c r="H134" s="2" t="s">
        <v>15</v>
      </c>
      <c r="I134" s="3" t="s">
        <v>16</v>
      </c>
      <c r="J134" s="2"/>
    </row>
    <row r="135" customFormat="false" ht="15" hidden="false" customHeight="false" outlineLevel="0" collapsed="false">
      <c r="A135" s="2" t="n">
        <v>134</v>
      </c>
      <c r="B135" s="2" t="n">
        <v>27</v>
      </c>
      <c r="C135" s="2" t="s">
        <v>474</v>
      </c>
      <c r="D135" s="2" t="s">
        <v>485</v>
      </c>
      <c r="E135" s="2" t="s">
        <v>486</v>
      </c>
      <c r="F135" s="2" t="s">
        <v>487</v>
      </c>
      <c r="G135" s="2" t="s">
        <v>488</v>
      </c>
      <c r="H135" s="2" t="s">
        <v>15</v>
      </c>
      <c r="I135" s="3" t="s">
        <v>16</v>
      </c>
      <c r="J135" s="2"/>
    </row>
    <row r="136" customFormat="false" ht="15" hidden="false" customHeight="false" outlineLevel="0" collapsed="false">
      <c r="A136" s="2" t="n">
        <v>135</v>
      </c>
      <c r="B136" s="2" t="n">
        <v>27</v>
      </c>
      <c r="C136" s="2" t="s">
        <v>474</v>
      </c>
      <c r="D136" s="2" t="s">
        <v>489</v>
      </c>
      <c r="E136" s="2" t="s">
        <v>490</v>
      </c>
      <c r="F136" s="2" t="s">
        <v>491</v>
      </c>
      <c r="G136" s="2" t="s">
        <v>489</v>
      </c>
      <c r="H136" s="2" t="s">
        <v>15</v>
      </c>
      <c r="I136" s="3" t="s">
        <v>16</v>
      </c>
      <c r="J136" s="2"/>
    </row>
    <row r="137" customFormat="false" ht="15" hidden="false" customHeight="false" outlineLevel="0" collapsed="false">
      <c r="A137" s="2" t="n">
        <v>136</v>
      </c>
      <c r="B137" s="2" t="n">
        <v>28</v>
      </c>
      <c r="C137" s="2" t="s">
        <v>474</v>
      </c>
      <c r="D137" s="2" t="s">
        <v>492</v>
      </c>
      <c r="E137" s="2" t="s">
        <v>493</v>
      </c>
      <c r="F137" s="2" t="s">
        <v>494</v>
      </c>
      <c r="G137" s="2" t="s">
        <v>495</v>
      </c>
      <c r="H137" s="2" t="s">
        <v>15</v>
      </c>
      <c r="I137" s="3" t="s">
        <v>16</v>
      </c>
      <c r="J137" s="2"/>
    </row>
    <row r="138" customFormat="false" ht="15" hidden="false" customHeight="false" outlineLevel="0" collapsed="false">
      <c r="A138" s="2" t="n">
        <v>137</v>
      </c>
      <c r="B138" s="2" t="n">
        <v>28</v>
      </c>
      <c r="C138" s="2" t="s">
        <v>496</v>
      </c>
      <c r="D138" s="2" t="s">
        <v>497</v>
      </c>
      <c r="E138" s="2" t="s">
        <v>498</v>
      </c>
      <c r="F138" s="2" t="s">
        <v>499</v>
      </c>
      <c r="G138" s="2" t="s">
        <v>500</v>
      </c>
      <c r="H138" s="2" t="s">
        <v>15</v>
      </c>
      <c r="I138" s="3" t="s">
        <v>16</v>
      </c>
      <c r="J138" s="2"/>
    </row>
    <row r="139" customFormat="false" ht="15" hidden="false" customHeight="false" outlineLevel="0" collapsed="false">
      <c r="A139" s="2" t="n">
        <v>138</v>
      </c>
      <c r="B139" s="2" t="n">
        <v>28</v>
      </c>
      <c r="C139" s="2" t="s">
        <v>496</v>
      </c>
      <c r="D139" s="2" t="s">
        <v>501</v>
      </c>
      <c r="E139" s="2" t="s">
        <v>502</v>
      </c>
      <c r="F139" s="2" t="s">
        <v>503</v>
      </c>
      <c r="G139" s="2" t="s">
        <v>504</v>
      </c>
      <c r="H139" s="2" t="s">
        <v>15</v>
      </c>
      <c r="I139" s="3" t="s">
        <v>16</v>
      </c>
      <c r="J139" s="2"/>
    </row>
    <row r="140" customFormat="false" ht="15" hidden="false" customHeight="false" outlineLevel="0" collapsed="false">
      <c r="A140" s="2" t="n">
        <v>139</v>
      </c>
      <c r="B140" s="2" t="n">
        <v>28</v>
      </c>
      <c r="C140" s="2" t="s">
        <v>496</v>
      </c>
      <c r="D140" s="2" t="s">
        <v>501</v>
      </c>
      <c r="E140" s="2" t="s">
        <v>505</v>
      </c>
      <c r="F140" s="2" t="s">
        <v>506</v>
      </c>
      <c r="G140" s="2" t="s">
        <v>507</v>
      </c>
      <c r="H140" s="2" t="s">
        <v>15</v>
      </c>
      <c r="I140" s="3" t="s">
        <v>16</v>
      </c>
      <c r="J140" s="2"/>
    </row>
    <row r="141" customFormat="false" ht="15" hidden="false" customHeight="false" outlineLevel="0" collapsed="false">
      <c r="A141" s="2" t="n">
        <v>140</v>
      </c>
      <c r="B141" s="2" t="n">
        <v>28</v>
      </c>
      <c r="C141" s="2" t="s">
        <v>496</v>
      </c>
      <c r="D141" s="2" t="s">
        <v>501</v>
      </c>
      <c r="E141" s="2" t="s">
        <v>508</v>
      </c>
      <c r="F141" s="2" t="s">
        <v>509</v>
      </c>
      <c r="G141" s="2" t="s">
        <v>510</v>
      </c>
      <c r="H141" s="2" t="s">
        <v>15</v>
      </c>
      <c r="I141" s="3" t="s">
        <v>16</v>
      </c>
      <c r="J141" s="2"/>
    </row>
    <row r="142" customFormat="false" ht="15" hidden="false" customHeight="false" outlineLevel="0" collapsed="false">
      <c r="A142" s="2" t="n">
        <v>141</v>
      </c>
      <c r="B142" s="2" t="n">
        <v>29</v>
      </c>
      <c r="C142" s="2" t="s">
        <v>496</v>
      </c>
      <c r="D142" s="2" t="s">
        <v>501</v>
      </c>
      <c r="E142" s="2" t="s">
        <v>511</v>
      </c>
      <c r="F142" s="2" t="s">
        <v>512</v>
      </c>
      <c r="G142" s="2" t="s">
        <v>513</v>
      </c>
      <c r="H142" s="2" t="s">
        <v>15</v>
      </c>
      <c r="I142" s="3" t="s">
        <v>16</v>
      </c>
      <c r="J142" s="2"/>
    </row>
    <row r="143" customFormat="false" ht="15" hidden="false" customHeight="false" outlineLevel="0" collapsed="false">
      <c r="A143" s="2" t="n">
        <v>142</v>
      </c>
      <c r="B143" s="2" t="n">
        <v>29</v>
      </c>
      <c r="C143" s="2" t="s">
        <v>496</v>
      </c>
      <c r="D143" s="2" t="s">
        <v>501</v>
      </c>
      <c r="E143" s="2" t="s">
        <v>514</v>
      </c>
      <c r="F143" s="2" t="s">
        <v>515</v>
      </c>
      <c r="G143" s="2" t="s">
        <v>516</v>
      </c>
      <c r="H143" s="2" t="s">
        <v>15</v>
      </c>
      <c r="I143" s="3" t="s">
        <v>16</v>
      </c>
      <c r="J143" s="2"/>
    </row>
    <row r="144" customFormat="false" ht="15" hidden="false" customHeight="false" outlineLevel="0" collapsed="false">
      <c r="A144" s="2" t="n">
        <v>143</v>
      </c>
      <c r="B144" s="2" t="n">
        <v>29</v>
      </c>
      <c r="C144" s="2" t="s">
        <v>496</v>
      </c>
      <c r="D144" s="2" t="s">
        <v>403</v>
      </c>
      <c r="E144" s="2" t="s">
        <v>517</v>
      </c>
      <c r="F144" s="2" t="s">
        <v>518</v>
      </c>
      <c r="G144" s="2" t="s">
        <v>519</v>
      </c>
      <c r="H144" s="2" t="s">
        <v>15</v>
      </c>
      <c r="I144" s="3" t="s">
        <v>16</v>
      </c>
      <c r="J144" s="2"/>
    </row>
    <row r="145" customFormat="false" ht="15" hidden="false" customHeight="false" outlineLevel="0" collapsed="false">
      <c r="A145" s="2" t="n">
        <v>144</v>
      </c>
      <c r="B145" s="2" t="n">
        <v>29</v>
      </c>
      <c r="C145" s="2" t="s">
        <v>520</v>
      </c>
      <c r="D145" s="2" t="s">
        <v>521</v>
      </c>
      <c r="E145" s="2" t="s">
        <v>522</v>
      </c>
      <c r="F145" s="2" t="s">
        <v>523</v>
      </c>
      <c r="G145" s="2" t="s">
        <v>521</v>
      </c>
      <c r="H145" s="2" t="s">
        <v>15</v>
      </c>
      <c r="I145" s="3" t="s">
        <v>16</v>
      </c>
      <c r="J145" s="2"/>
    </row>
    <row r="146" customFormat="false" ht="15" hidden="false" customHeight="false" outlineLevel="0" collapsed="false">
      <c r="A146" s="2" t="n">
        <v>145</v>
      </c>
      <c r="B146" s="2" t="n">
        <v>29</v>
      </c>
      <c r="C146" s="2" t="s">
        <v>520</v>
      </c>
      <c r="D146" s="2" t="s">
        <v>524</v>
      </c>
      <c r="E146" s="2" t="s">
        <v>525</v>
      </c>
      <c r="F146" s="2" t="s">
        <v>526</v>
      </c>
      <c r="G146" s="2" t="s">
        <v>527</v>
      </c>
      <c r="H146" s="2" t="s">
        <v>15</v>
      </c>
      <c r="I146" s="3" t="s">
        <v>16</v>
      </c>
      <c r="J146" s="2"/>
    </row>
    <row r="147" customFormat="false" ht="15" hidden="false" customHeight="false" outlineLevel="0" collapsed="false">
      <c r="A147" s="2" t="n">
        <v>146</v>
      </c>
      <c r="B147" s="2" t="n">
        <v>30</v>
      </c>
      <c r="C147" s="2" t="s">
        <v>520</v>
      </c>
      <c r="D147" s="2" t="s">
        <v>528</v>
      </c>
      <c r="E147" s="2" t="s">
        <v>529</v>
      </c>
      <c r="F147" s="2" t="s">
        <v>530</v>
      </c>
      <c r="G147" s="2" t="s">
        <v>531</v>
      </c>
      <c r="H147" s="2" t="s">
        <v>15</v>
      </c>
      <c r="I147" s="3" t="s">
        <v>16</v>
      </c>
      <c r="J147" s="2"/>
    </row>
    <row r="148" customFormat="false" ht="15" hidden="false" customHeight="false" outlineLevel="0" collapsed="false">
      <c r="A148" s="2" t="n">
        <v>147</v>
      </c>
      <c r="B148" s="2" t="n">
        <v>30</v>
      </c>
      <c r="C148" s="2" t="s">
        <v>520</v>
      </c>
      <c r="D148" s="2" t="s">
        <v>532</v>
      </c>
      <c r="E148" s="2" t="s">
        <v>533</v>
      </c>
      <c r="F148" s="2" t="s">
        <v>534</v>
      </c>
      <c r="G148" s="2" t="s">
        <v>535</v>
      </c>
      <c r="H148" s="2" t="s">
        <v>15</v>
      </c>
      <c r="I148" s="3" t="s">
        <v>16</v>
      </c>
      <c r="J148" s="2"/>
    </row>
    <row r="149" customFormat="false" ht="15" hidden="false" customHeight="false" outlineLevel="0" collapsed="false">
      <c r="A149" s="2" t="n">
        <v>148</v>
      </c>
      <c r="B149" s="2" t="n">
        <v>30</v>
      </c>
      <c r="C149" s="2" t="s">
        <v>520</v>
      </c>
      <c r="D149" s="2" t="s">
        <v>536</v>
      </c>
      <c r="E149" s="2" t="s">
        <v>537</v>
      </c>
      <c r="F149" s="2" t="s">
        <v>538</v>
      </c>
      <c r="G149" s="2" t="s">
        <v>539</v>
      </c>
      <c r="H149" s="2" t="s">
        <v>15</v>
      </c>
      <c r="I149" s="3" t="s">
        <v>16</v>
      </c>
      <c r="J149" s="2"/>
    </row>
    <row r="150" customFormat="false" ht="15" hidden="false" customHeight="false" outlineLevel="0" collapsed="false">
      <c r="A150" s="2" t="n">
        <v>149</v>
      </c>
      <c r="B150" s="2" t="n">
        <v>30</v>
      </c>
      <c r="C150" s="2" t="s">
        <v>520</v>
      </c>
      <c r="D150" s="2" t="s">
        <v>540</v>
      </c>
      <c r="E150" s="2" t="s">
        <v>541</v>
      </c>
      <c r="F150" s="2" t="s">
        <v>542</v>
      </c>
      <c r="G150" s="2" t="s">
        <v>543</v>
      </c>
      <c r="H150" s="2" t="s">
        <v>15</v>
      </c>
      <c r="I150" s="3" t="s">
        <v>16</v>
      </c>
      <c r="J150" s="2"/>
    </row>
    <row r="151" customFormat="false" ht="15" hidden="false" customHeight="false" outlineLevel="0" collapsed="false">
      <c r="A151" s="2" t="n">
        <v>150</v>
      </c>
      <c r="B151" s="2" t="n">
        <v>30</v>
      </c>
      <c r="C151" s="2" t="s">
        <v>544</v>
      </c>
      <c r="D151" s="2" t="s">
        <v>545</v>
      </c>
      <c r="E151" s="2" t="s">
        <v>546</v>
      </c>
      <c r="F151" s="2" t="s">
        <v>547</v>
      </c>
      <c r="G151" s="2" t="s">
        <v>548</v>
      </c>
      <c r="H151" s="2" t="s">
        <v>15</v>
      </c>
      <c r="I151" s="3" t="s">
        <v>16</v>
      </c>
      <c r="J151" s="2"/>
    </row>
    <row r="152" customFormat="false" ht="15" hidden="false" customHeight="false" outlineLevel="0" collapsed="false">
      <c r="A152" s="2" t="n">
        <v>151</v>
      </c>
      <c r="B152" s="2" t="n">
        <v>31</v>
      </c>
      <c r="C152" s="2" t="s">
        <v>544</v>
      </c>
      <c r="D152" s="2" t="s">
        <v>545</v>
      </c>
      <c r="E152" s="2" t="s">
        <v>549</v>
      </c>
      <c r="F152" s="2" t="s">
        <v>550</v>
      </c>
      <c r="G152" s="2" t="s">
        <v>551</v>
      </c>
      <c r="H152" s="2" t="s">
        <v>15</v>
      </c>
      <c r="I152" s="3" t="s">
        <v>16</v>
      </c>
      <c r="J152" s="2"/>
    </row>
    <row r="153" customFormat="false" ht="15" hidden="false" customHeight="false" outlineLevel="0" collapsed="false">
      <c r="A153" s="2" t="n">
        <v>152</v>
      </c>
      <c r="B153" s="2" t="n">
        <v>31</v>
      </c>
      <c r="C153" s="2" t="s">
        <v>544</v>
      </c>
      <c r="D153" s="2" t="s">
        <v>545</v>
      </c>
      <c r="E153" s="2" t="s">
        <v>552</v>
      </c>
      <c r="F153" s="2" t="s">
        <v>553</v>
      </c>
      <c r="G153" s="2" t="s">
        <v>554</v>
      </c>
      <c r="H153" s="2" t="s">
        <v>15</v>
      </c>
      <c r="I153" s="3" t="s">
        <v>16</v>
      </c>
      <c r="J153" s="2"/>
    </row>
    <row r="154" customFormat="false" ht="15" hidden="false" customHeight="false" outlineLevel="0" collapsed="false">
      <c r="A154" s="2" t="n">
        <v>153</v>
      </c>
      <c r="B154" s="2" t="n">
        <v>31</v>
      </c>
      <c r="C154" s="2" t="s">
        <v>544</v>
      </c>
      <c r="D154" s="2" t="s">
        <v>545</v>
      </c>
      <c r="E154" s="2" t="s">
        <v>555</v>
      </c>
      <c r="F154" s="2" t="s">
        <v>556</v>
      </c>
      <c r="G154" s="2" t="s">
        <v>557</v>
      </c>
      <c r="H154" s="2" t="s">
        <v>15</v>
      </c>
      <c r="I154" s="3" t="s">
        <v>16</v>
      </c>
      <c r="J154" s="2"/>
    </row>
    <row r="155" customFormat="false" ht="15" hidden="false" customHeight="false" outlineLevel="0" collapsed="false">
      <c r="A155" s="2" t="n">
        <v>154</v>
      </c>
      <c r="B155" s="2" t="n">
        <v>31</v>
      </c>
      <c r="C155" s="2" t="s">
        <v>544</v>
      </c>
      <c r="D155" s="2" t="s">
        <v>558</v>
      </c>
      <c r="E155" s="2" t="s">
        <v>559</v>
      </c>
      <c r="F155" s="2" t="s">
        <v>560</v>
      </c>
      <c r="G155" s="2" t="s">
        <v>558</v>
      </c>
      <c r="H155" s="2" t="s">
        <v>15</v>
      </c>
      <c r="I155" s="3" t="s">
        <v>16</v>
      </c>
      <c r="J155" s="2"/>
    </row>
    <row r="156" customFormat="false" ht="15" hidden="false" customHeight="false" outlineLevel="0" collapsed="false">
      <c r="A156" s="2" t="n">
        <v>155</v>
      </c>
      <c r="B156" s="2" t="n">
        <v>31</v>
      </c>
      <c r="C156" s="2" t="s">
        <v>544</v>
      </c>
      <c r="D156" s="2" t="s">
        <v>342</v>
      </c>
      <c r="E156" s="2" t="s">
        <v>561</v>
      </c>
      <c r="F156" s="2" t="s">
        <v>562</v>
      </c>
      <c r="G156" s="2" t="s">
        <v>563</v>
      </c>
      <c r="H156" s="2" t="s">
        <v>15</v>
      </c>
      <c r="I156" s="3" t="s">
        <v>16</v>
      </c>
      <c r="J156" s="2"/>
    </row>
    <row r="157" customFormat="false" ht="15" hidden="false" customHeight="false" outlineLevel="0" collapsed="false">
      <c r="A157" s="2" t="n">
        <v>156</v>
      </c>
      <c r="B157" s="2" t="n">
        <v>32</v>
      </c>
      <c r="C157" s="2" t="s">
        <v>564</v>
      </c>
      <c r="D157" s="2" t="s">
        <v>565</v>
      </c>
      <c r="E157" s="2" t="s">
        <v>566</v>
      </c>
      <c r="F157" s="2" t="s">
        <v>567</v>
      </c>
      <c r="G157" s="2" t="s">
        <v>568</v>
      </c>
      <c r="H157" s="2" t="s">
        <v>15</v>
      </c>
      <c r="I157" s="3" t="s">
        <v>16</v>
      </c>
      <c r="J157" s="2"/>
    </row>
    <row r="158" customFormat="false" ht="15" hidden="false" customHeight="false" outlineLevel="0" collapsed="false">
      <c r="A158" s="2" t="n">
        <v>157</v>
      </c>
      <c r="B158" s="2" t="n">
        <v>32</v>
      </c>
      <c r="C158" s="2" t="s">
        <v>564</v>
      </c>
      <c r="D158" s="2" t="s">
        <v>342</v>
      </c>
      <c r="E158" s="2" t="s">
        <v>569</v>
      </c>
      <c r="F158" s="2" t="s">
        <v>570</v>
      </c>
      <c r="G158" s="2" t="s">
        <v>571</v>
      </c>
      <c r="H158" s="2" t="s">
        <v>15</v>
      </c>
      <c r="I158" s="3" t="s">
        <v>16</v>
      </c>
      <c r="J158" s="2"/>
    </row>
    <row r="159" customFormat="false" ht="15" hidden="false" customHeight="false" outlineLevel="0" collapsed="false">
      <c r="A159" s="2" t="n">
        <v>158</v>
      </c>
      <c r="B159" s="2" t="n">
        <v>32</v>
      </c>
      <c r="C159" s="2" t="s">
        <v>564</v>
      </c>
      <c r="D159" s="2" t="s">
        <v>572</v>
      </c>
      <c r="E159" s="2" t="s">
        <v>573</v>
      </c>
      <c r="F159" s="2" t="s">
        <v>574</v>
      </c>
      <c r="G159" s="2" t="s">
        <v>575</v>
      </c>
      <c r="H159" s="2" t="s">
        <v>15</v>
      </c>
      <c r="I159" s="3" t="s">
        <v>16</v>
      </c>
      <c r="J159" s="2"/>
    </row>
    <row r="160" customFormat="false" ht="15" hidden="false" customHeight="false" outlineLevel="0" collapsed="false">
      <c r="A160" s="2" t="n">
        <v>159</v>
      </c>
      <c r="B160" s="2" t="n">
        <v>32</v>
      </c>
      <c r="C160" s="2" t="s">
        <v>564</v>
      </c>
      <c r="D160" s="2" t="s">
        <v>576</v>
      </c>
      <c r="E160" s="2" t="s">
        <v>577</v>
      </c>
      <c r="F160" s="2" t="s">
        <v>578</v>
      </c>
      <c r="G160" s="2" t="s">
        <v>577</v>
      </c>
      <c r="H160" s="2" t="s">
        <v>15</v>
      </c>
      <c r="I160" s="3" t="s">
        <v>16</v>
      </c>
      <c r="J160" s="2"/>
    </row>
    <row r="161" customFormat="false" ht="15" hidden="false" customHeight="false" outlineLevel="0" collapsed="false">
      <c r="A161" s="2" t="n">
        <v>160</v>
      </c>
      <c r="B161" s="2" t="n">
        <v>32</v>
      </c>
      <c r="C161" s="2" t="s">
        <v>564</v>
      </c>
      <c r="D161" s="2" t="s">
        <v>579</v>
      </c>
      <c r="E161" s="2" t="s">
        <v>580</v>
      </c>
      <c r="F161" s="2" t="s">
        <v>581</v>
      </c>
      <c r="G161" s="2" t="s">
        <v>582</v>
      </c>
      <c r="H161" s="2" t="s">
        <v>15</v>
      </c>
      <c r="I161" s="3" t="s">
        <v>16</v>
      </c>
      <c r="J161" s="2"/>
    </row>
    <row r="162" customFormat="false" ht="15" hidden="false" customHeight="false" outlineLevel="0" collapsed="false">
      <c r="A162" s="0" t="n">
        <v>161</v>
      </c>
      <c r="B162" s="0" t="n">
        <v>33</v>
      </c>
      <c r="C162" s="0" t="s">
        <v>564</v>
      </c>
      <c r="D162" s="0" t="s">
        <v>492</v>
      </c>
      <c r="E162" s="0" t="s">
        <v>583</v>
      </c>
      <c r="F162" s="0" t="s">
        <v>584</v>
      </c>
      <c r="G162" s="0" t="s">
        <v>585</v>
      </c>
      <c r="H162" s="0" t="s">
        <v>15</v>
      </c>
      <c r="I162" s="4" t="s">
        <v>16</v>
      </c>
    </row>
    <row r="163" customFormat="false" ht="15" hidden="false" customHeight="false" outlineLevel="0" collapsed="false">
      <c r="A163" s="0" t="n">
        <v>162</v>
      </c>
      <c r="B163" s="0" t="n">
        <v>33</v>
      </c>
      <c r="C163" s="0" t="s">
        <v>564</v>
      </c>
      <c r="D163" s="0" t="s">
        <v>492</v>
      </c>
      <c r="E163" s="0" t="s">
        <v>586</v>
      </c>
      <c r="F163" s="0" t="s">
        <v>587</v>
      </c>
      <c r="G163" s="0" t="s">
        <v>588</v>
      </c>
      <c r="H163" s="0" t="s">
        <v>15</v>
      </c>
      <c r="I163" s="4" t="s">
        <v>16</v>
      </c>
    </row>
    <row r="164" customFormat="false" ht="15" hidden="false" customHeight="false" outlineLevel="0" collapsed="false">
      <c r="A164" s="0" t="n">
        <v>163</v>
      </c>
      <c r="B164" s="0" t="n">
        <v>33</v>
      </c>
      <c r="C164" s="0" t="s">
        <v>564</v>
      </c>
      <c r="D164" s="0" t="s">
        <v>589</v>
      </c>
      <c r="E164" s="0" t="s">
        <v>590</v>
      </c>
      <c r="F164" s="0" t="s">
        <v>591</v>
      </c>
      <c r="G164" s="0" t="s">
        <v>592</v>
      </c>
      <c r="H164" s="0" t="s">
        <v>15</v>
      </c>
      <c r="I164" s="4" t="s">
        <v>16</v>
      </c>
    </row>
    <row r="165" customFormat="false" ht="15" hidden="false" customHeight="false" outlineLevel="0" collapsed="false">
      <c r="A165" s="0" t="n">
        <v>164</v>
      </c>
      <c r="B165" s="0" t="n">
        <v>33</v>
      </c>
      <c r="C165" s="0" t="s">
        <v>564</v>
      </c>
      <c r="D165" s="0" t="s">
        <v>589</v>
      </c>
      <c r="E165" s="0" t="s">
        <v>593</v>
      </c>
      <c r="F165" s="0" t="s">
        <v>594</v>
      </c>
      <c r="G165" s="0" t="s">
        <v>595</v>
      </c>
      <c r="H165" s="0" t="s">
        <v>15</v>
      </c>
      <c r="I165" s="4" t="s">
        <v>16</v>
      </c>
    </row>
    <row r="166" customFormat="false" ht="15" hidden="false" customHeight="false" outlineLevel="0" collapsed="false">
      <c r="A166" s="0" t="n">
        <v>165</v>
      </c>
      <c r="B166" s="0" t="n">
        <v>33</v>
      </c>
      <c r="C166" s="0" t="s">
        <v>564</v>
      </c>
      <c r="D166" s="0" t="s">
        <v>596</v>
      </c>
      <c r="E166" s="0" t="s">
        <v>597</v>
      </c>
      <c r="F166" s="0" t="s">
        <v>598</v>
      </c>
      <c r="G166" s="0" t="s">
        <v>599</v>
      </c>
      <c r="H166" s="0" t="s">
        <v>15</v>
      </c>
      <c r="I166" s="4" t="s">
        <v>16</v>
      </c>
    </row>
    <row r="167" customFormat="false" ht="15" hidden="false" customHeight="false" outlineLevel="0" collapsed="false">
      <c r="A167" s="0" t="n">
        <v>166</v>
      </c>
      <c r="B167" s="0" t="n">
        <v>34</v>
      </c>
      <c r="C167" s="0" t="s">
        <v>564</v>
      </c>
      <c r="D167" s="0" t="s">
        <v>596</v>
      </c>
      <c r="E167" s="0" t="s">
        <v>600</v>
      </c>
      <c r="F167" s="0" t="s">
        <v>601</v>
      </c>
      <c r="G167" s="0" t="s">
        <v>602</v>
      </c>
      <c r="H167" s="0" t="s">
        <v>15</v>
      </c>
      <c r="I167" s="4" t="s">
        <v>16</v>
      </c>
    </row>
    <row r="168" customFormat="false" ht="15" hidden="false" customHeight="false" outlineLevel="0" collapsed="false">
      <c r="A168" s="0" t="n">
        <v>167</v>
      </c>
      <c r="B168" s="0" t="n">
        <v>34</v>
      </c>
      <c r="C168" s="0" t="s">
        <v>564</v>
      </c>
      <c r="D168" s="0" t="s">
        <v>596</v>
      </c>
      <c r="E168" s="0" t="s">
        <v>603</v>
      </c>
      <c r="F168" s="0" t="s">
        <v>604</v>
      </c>
      <c r="G168" s="0" t="s">
        <v>605</v>
      </c>
      <c r="H168" s="0" t="s">
        <v>15</v>
      </c>
      <c r="I168" s="4" t="s">
        <v>16</v>
      </c>
    </row>
  </sheetData>
  <autoFilter ref="A1:J161"/>
  <conditionalFormatting sqref="I2:I161">
    <cfRule type="cellIs" priority="2" operator="equal" aboveAverage="0" equalAverage="0" bottom="0" percent="0" rank="0" text="" dxfId="4">
      <formula>"Done"</formula>
    </cfRule>
    <cfRule type="cellIs" priority="3" operator="equal" aboveAverage="0" equalAverage="0" bottom="0" percent="0" rank="0" text="" dxfId="5">
      <formula>"Blocked"</formula>
    </cfRule>
  </conditionalFormatting>
  <dataValidations count="1">
    <dataValidation allowBlank="true" errorStyle="stop" operator="between" showDropDown="false" showErrorMessage="false" showInputMessage="false" sqref="I2:I168" type="list">
      <formula1>"Not Started,In Progress,Blocked,Done,Skipped"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0"/>
  </cols>
  <sheetData>
    <row r="1" customFormat="false" ht="15" hidden="false" customHeight="false" outlineLevel="0" collapsed="false">
      <c r="A1" s="5" t="s">
        <v>2</v>
      </c>
      <c r="B1" s="5" t="s">
        <v>3</v>
      </c>
      <c r="C1" s="5" t="s">
        <v>606</v>
      </c>
      <c r="D1" s="5" t="s">
        <v>607</v>
      </c>
      <c r="E1" s="5" t="s">
        <v>8</v>
      </c>
      <c r="F1" s="5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 t="n">
        <v>1</v>
      </c>
      <c r="D2" s="2"/>
      <c r="E2" s="3" t="s">
        <v>16</v>
      </c>
      <c r="F2" s="2"/>
    </row>
    <row r="3" customFormat="false" ht="15" hidden="false" customHeight="false" outlineLevel="0" collapsed="false">
      <c r="A3" s="2" t="s">
        <v>10</v>
      </c>
      <c r="B3" s="2" t="s">
        <v>17</v>
      </c>
      <c r="C3" s="2" t="n">
        <v>1</v>
      </c>
      <c r="D3" s="2"/>
      <c r="E3" s="3" t="s">
        <v>16</v>
      </c>
      <c r="F3" s="2"/>
    </row>
    <row r="4" customFormat="false" ht="15" hidden="false" customHeight="false" outlineLevel="0" collapsed="false">
      <c r="A4" s="2" t="s">
        <v>10</v>
      </c>
      <c r="B4" s="2" t="s">
        <v>21</v>
      </c>
      <c r="C4" s="2" t="n">
        <v>1</v>
      </c>
      <c r="D4" s="2"/>
      <c r="E4" s="3" t="s">
        <v>16</v>
      </c>
      <c r="F4" s="2"/>
    </row>
    <row r="5" customFormat="false" ht="15" hidden="false" customHeight="false" outlineLevel="0" collapsed="false">
      <c r="A5" s="2" t="s">
        <v>10</v>
      </c>
      <c r="B5" s="2" t="s">
        <v>25</v>
      </c>
      <c r="C5" s="2" t="n">
        <v>1</v>
      </c>
      <c r="D5" s="2"/>
      <c r="E5" s="3" t="s">
        <v>16</v>
      </c>
      <c r="F5" s="2"/>
    </row>
    <row r="6" customFormat="false" ht="15" hidden="false" customHeight="false" outlineLevel="0" collapsed="false">
      <c r="A6" s="2" t="s">
        <v>10</v>
      </c>
      <c r="B6" s="2" t="s">
        <v>29</v>
      </c>
      <c r="C6" s="2" t="n">
        <v>1</v>
      </c>
      <c r="D6" s="2"/>
      <c r="E6" s="3" t="s">
        <v>16</v>
      </c>
      <c r="F6" s="2"/>
    </row>
    <row r="7" customFormat="false" ht="15" hidden="false" customHeight="false" outlineLevel="0" collapsed="false">
      <c r="A7" s="2" t="s">
        <v>10</v>
      </c>
      <c r="B7" s="2" t="s">
        <v>33</v>
      </c>
      <c r="C7" s="2" t="n">
        <v>1</v>
      </c>
      <c r="D7" s="2"/>
      <c r="E7" s="3" t="s">
        <v>16</v>
      </c>
      <c r="F7" s="2"/>
    </row>
    <row r="8" customFormat="false" ht="15" hidden="false" customHeight="false" outlineLevel="0" collapsed="false">
      <c r="A8" s="2" t="s">
        <v>10</v>
      </c>
      <c r="B8" s="2" t="s">
        <v>37</v>
      </c>
      <c r="C8" s="2" t="n">
        <v>1</v>
      </c>
      <c r="D8" s="2"/>
      <c r="E8" s="3" t="s">
        <v>16</v>
      </c>
      <c r="F8" s="2"/>
    </row>
    <row r="9" customFormat="false" ht="15" hidden="false" customHeight="false" outlineLevel="0" collapsed="false">
      <c r="A9" s="2" t="s">
        <v>10</v>
      </c>
      <c r="B9" s="2" t="s">
        <v>41</v>
      </c>
      <c r="C9" s="2" t="n">
        <v>1</v>
      </c>
      <c r="D9" s="2"/>
      <c r="E9" s="3" t="s">
        <v>16</v>
      </c>
      <c r="F9" s="2"/>
    </row>
    <row r="10" customFormat="false" ht="15" hidden="false" customHeight="false" outlineLevel="0" collapsed="false">
      <c r="A10" s="2" t="s">
        <v>10</v>
      </c>
      <c r="B10" s="2" t="s">
        <v>45</v>
      </c>
      <c r="C10" s="2" t="n">
        <v>1</v>
      </c>
      <c r="D10" s="2"/>
      <c r="E10" s="3" t="s">
        <v>16</v>
      </c>
      <c r="F10" s="2"/>
    </row>
    <row r="11" customFormat="false" ht="15" hidden="false" customHeight="false" outlineLevel="0" collapsed="false">
      <c r="A11" s="2" t="s">
        <v>10</v>
      </c>
      <c r="B11" s="2" t="s">
        <v>49</v>
      </c>
      <c r="C11" s="2" t="n">
        <v>1</v>
      </c>
      <c r="D11" s="2"/>
      <c r="E11" s="3" t="s">
        <v>16</v>
      </c>
      <c r="F11" s="2"/>
    </row>
    <row r="12" customFormat="false" ht="15" hidden="false" customHeight="false" outlineLevel="0" collapsed="false">
      <c r="A12" s="2" t="s">
        <v>53</v>
      </c>
      <c r="B12" s="2" t="s">
        <v>54</v>
      </c>
      <c r="C12" s="2" t="n">
        <v>1</v>
      </c>
      <c r="D12" s="2"/>
      <c r="E12" s="3" t="s">
        <v>16</v>
      </c>
      <c r="F12" s="2"/>
    </row>
    <row r="13" customFormat="false" ht="15" hidden="false" customHeight="false" outlineLevel="0" collapsed="false">
      <c r="A13" s="2" t="s">
        <v>53</v>
      </c>
      <c r="B13" s="2" t="s">
        <v>58</v>
      </c>
      <c r="C13" s="2" t="n">
        <v>1</v>
      </c>
      <c r="D13" s="2"/>
      <c r="E13" s="3" t="s">
        <v>16</v>
      </c>
      <c r="F13" s="2"/>
    </row>
    <row r="14" customFormat="false" ht="15" hidden="false" customHeight="false" outlineLevel="0" collapsed="false">
      <c r="A14" s="2" t="s">
        <v>53</v>
      </c>
      <c r="B14" s="2" t="s">
        <v>62</v>
      </c>
      <c r="C14" s="2" t="n">
        <v>1</v>
      </c>
      <c r="D14" s="2"/>
      <c r="E14" s="3" t="s">
        <v>16</v>
      </c>
      <c r="F14" s="2"/>
    </row>
    <row r="15" customFormat="false" ht="15" hidden="false" customHeight="false" outlineLevel="0" collapsed="false">
      <c r="A15" s="2" t="s">
        <v>53</v>
      </c>
      <c r="B15" s="2" t="s">
        <v>66</v>
      </c>
      <c r="C15" s="2" t="n">
        <v>1</v>
      </c>
      <c r="D15" s="2"/>
      <c r="E15" s="3" t="s">
        <v>16</v>
      </c>
      <c r="F15" s="2"/>
    </row>
    <row r="16" customFormat="false" ht="15" hidden="false" customHeight="false" outlineLevel="0" collapsed="false">
      <c r="A16" s="2" t="s">
        <v>53</v>
      </c>
      <c r="B16" s="2" t="s">
        <v>70</v>
      </c>
      <c r="C16" s="2" t="n">
        <v>1</v>
      </c>
      <c r="D16" s="2"/>
      <c r="E16" s="3" t="s">
        <v>16</v>
      </c>
      <c r="F16" s="2"/>
    </row>
    <row r="17" customFormat="false" ht="15" hidden="false" customHeight="false" outlineLevel="0" collapsed="false">
      <c r="A17" s="2" t="s">
        <v>53</v>
      </c>
      <c r="B17" s="2" t="s">
        <v>74</v>
      </c>
      <c r="C17" s="2" t="n">
        <v>1</v>
      </c>
      <c r="D17" s="2"/>
      <c r="E17" s="3" t="s">
        <v>16</v>
      </c>
      <c r="F17" s="2"/>
    </row>
    <row r="18" customFormat="false" ht="15" hidden="false" customHeight="false" outlineLevel="0" collapsed="false">
      <c r="A18" s="2" t="s">
        <v>77</v>
      </c>
      <c r="B18" s="2" t="s">
        <v>78</v>
      </c>
      <c r="C18" s="2" t="n">
        <v>3</v>
      </c>
      <c r="D18" s="2"/>
      <c r="E18" s="3" t="s">
        <v>16</v>
      </c>
      <c r="F18" s="2"/>
    </row>
    <row r="19" customFormat="false" ht="15" hidden="false" customHeight="false" outlineLevel="0" collapsed="false">
      <c r="A19" s="2" t="s">
        <v>77</v>
      </c>
      <c r="B19" s="2" t="s">
        <v>88</v>
      </c>
      <c r="C19" s="2" t="n">
        <v>4</v>
      </c>
      <c r="D19" s="2"/>
      <c r="E19" s="3" t="s">
        <v>16</v>
      </c>
      <c r="F19" s="2"/>
    </row>
    <row r="20" customFormat="false" ht="15" hidden="false" customHeight="false" outlineLevel="0" collapsed="false">
      <c r="A20" s="2" t="s">
        <v>77</v>
      </c>
      <c r="B20" s="2" t="s">
        <v>101</v>
      </c>
      <c r="C20" s="2" t="n">
        <v>1</v>
      </c>
      <c r="D20" s="2"/>
      <c r="E20" s="3" t="s">
        <v>16</v>
      </c>
      <c r="F20" s="2"/>
    </row>
    <row r="21" customFormat="false" ht="15" hidden="false" customHeight="false" outlineLevel="0" collapsed="false">
      <c r="A21" s="2" t="s">
        <v>77</v>
      </c>
      <c r="B21" s="2" t="s">
        <v>105</v>
      </c>
      <c r="C21" s="2" t="n">
        <v>2</v>
      </c>
      <c r="D21" s="2"/>
      <c r="E21" s="3" t="s">
        <v>16</v>
      </c>
      <c r="F21" s="2"/>
    </row>
    <row r="22" customFormat="false" ht="15" hidden="false" customHeight="false" outlineLevel="0" collapsed="false">
      <c r="A22" s="2" t="s">
        <v>77</v>
      </c>
      <c r="B22" s="2" t="s">
        <v>112</v>
      </c>
      <c r="C22" s="2" t="n">
        <v>1</v>
      </c>
      <c r="D22" s="2"/>
      <c r="E22" s="3" t="s">
        <v>16</v>
      </c>
      <c r="F22" s="2"/>
    </row>
    <row r="23" customFormat="false" ht="15" hidden="false" customHeight="false" outlineLevel="0" collapsed="false">
      <c r="A23" s="2" t="s">
        <v>116</v>
      </c>
      <c r="B23" s="2" t="s">
        <v>117</v>
      </c>
      <c r="C23" s="2" t="n">
        <v>4</v>
      </c>
      <c r="D23" s="2"/>
      <c r="E23" s="3" t="s">
        <v>16</v>
      </c>
      <c r="F23" s="2"/>
    </row>
    <row r="24" customFormat="false" ht="15" hidden="false" customHeight="false" outlineLevel="0" collapsed="false">
      <c r="A24" s="2" t="s">
        <v>116</v>
      </c>
      <c r="B24" s="2" t="s">
        <v>130</v>
      </c>
      <c r="C24" s="2" t="n">
        <v>2</v>
      </c>
      <c r="D24" s="2"/>
      <c r="E24" s="3" t="s">
        <v>16</v>
      </c>
      <c r="F24" s="2"/>
    </row>
    <row r="25" customFormat="false" ht="15" hidden="false" customHeight="false" outlineLevel="0" collapsed="false">
      <c r="A25" s="2" t="s">
        <v>116</v>
      </c>
      <c r="B25" s="2" t="s">
        <v>137</v>
      </c>
      <c r="C25" s="2" t="n">
        <v>1</v>
      </c>
      <c r="D25" s="2"/>
      <c r="E25" s="3" t="s">
        <v>16</v>
      </c>
      <c r="F25" s="2"/>
    </row>
    <row r="26" customFormat="false" ht="15" hidden="false" customHeight="false" outlineLevel="0" collapsed="false">
      <c r="A26" s="2" t="s">
        <v>116</v>
      </c>
      <c r="B26" s="2" t="s">
        <v>141</v>
      </c>
      <c r="C26" s="2" t="n">
        <v>1</v>
      </c>
      <c r="D26" s="2"/>
      <c r="E26" s="3" t="s">
        <v>16</v>
      </c>
      <c r="F26" s="2"/>
    </row>
    <row r="27" customFormat="false" ht="15" hidden="false" customHeight="false" outlineLevel="0" collapsed="false">
      <c r="A27" s="2" t="s">
        <v>116</v>
      </c>
      <c r="B27" s="2" t="s">
        <v>145</v>
      </c>
      <c r="C27" s="2" t="n">
        <v>1</v>
      </c>
      <c r="D27" s="2"/>
      <c r="E27" s="3" t="s">
        <v>16</v>
      </c>
      <c r="F27" s="2"/>
    </row>
    <row r="28" customFormat="false" ht="15" hidden="false" customHeight="false" outlineLevel="0" collapsed="false">
      <c r="A28" s="2" t="s">
        <v>149</v>
      </c>
      <c r="B28" s="2" t="s">
        <v>150</v>
      </c>
      <c r="C28" s="2" t="n">
        <v>3</v>
      </c>
      <c r="D28" s="2"/>
      <c r="E28" s="3" t="s">
        <v>16</v>
      </c>
      <c r="F28" s="2"/>
    </row>
    <row r="29" customFormat="false" ht="15" hidden="false" customHeight="false" outlineLevel="0" collapsed="false">
      <c r="A29" s="2" t="s">
        <v>149</v>
      </c>
      <c r="B29" s="2" t="s">
        <v>160</v>
      </c>
      <c r="C29" s="2" t="n">
        <v>3</v>
      </c>
      <c r="D29" s="2"/>
      <c r="E29" s="3" t="s">
        <v>16</v>
      </c>
      <c r="F29" s="2"/>
    </row>
    <row r="30" customFormat="false" ht="15" hidden="false" customHeight="false" outlineLevel="0" collapsed="false">
      <c r="A30" s="2" t="s">
        <v>149</v>
      </c>
      <c r="B30" s="2" t="s">
        <v>170</v>
      </c>
      <c r="C30" s="2" t="n">
        <v>1</v>
      </c>
      <c r="D30" s="2"/>
      <c r="E30" s="3" t="s">
        <v>16</v>
      </c>
      <c r="F30" s="2"/>
    </row>
    <row r="31" customFormat="false" ht="15" hidden="false" customHeight="false" outlineLevel="0" collapsed="false">
      <c r="A31" s="2" t="s">
        <v>174</v>
      </c>
      <c r="B31" s="2" t="s">
        <v>175</v>
      </c>
      <c r="C31" s="2" t="n">
        <v>2</v>
      </c>
      <c r="D31" s="2"/>
      <c r="E31" s="3" t="s">
        <v>16</v>
      </c>
      <c r="F31" s="2"/>
    </row>
    <row r="32" customFormat="false" ht="15" hidden="false" customHeight="false" outlineLevel="0" collapsed="false">
      <c r="A32" s="2" t="s">
        <v>174</v>
      </c>
      <c r="B32" s="2" t="s">
        <v>182</v>
      </c>
      <c r="C32" s="2" t="n">
        <v>1</v>
      </c>
      <c r="D32" s="2"/>
      <c r="E32" s="3" t="s">
        <v>16</v>
      </c>
      <c r="F32" s="2"/>
    </row>
    <row r="33" customFormat="false" ht="15" hidden="false" customHeight="false" outlineLevel="0" collapsed="false">
      <c r="A33" s="2" t="s">
        <v>174</v>
      </c>
      <c r="B33" s="2" t="s">
        <v>186</v>
      </c>
      <c r="C33" s="2" t="n">
        <v>1</v>
      </c>
      <c r="D33" s="2"/>
      <c r="E33" s="3" t="s">
        <v>16</v>
      </c>
      <c r="F33" s="2"/>
    </row>
    <row r="34" customFormat="false" ht="15" hidden="false" customHeight="false" outlineLevel="0" collapsed="false">
      <c r="A34" s="2" t="s">
        <v>174</v>
      </c>
      <c r="B34" s="2" t="s">
        <v>190</v>
      </c>
      <c r="C34" s="2" t="n">
        <v>1</v>
      </c>
      <c r="D34" s="2"/>
      <c r="E34" s="3" t="s">
        <v>16</v>
      </c>
      <c r="F34" s="2"/>
    </row>
    <row r="35" customFormat="false" ht="15" hidden="false" customHeight="false" outlineLevel="0" collapsed="false">
      <c r="A35" s="2" t="s">
        <v>174</v>
      </c>
      <c r="B35" s="2" t="s">
        <v>194</v>
      </c>
      <c r="C35" s="2" t="n">
        <v>2</v>
      </c>
      <c r="D35" s="2"/>
      <c r="E35" s="3" t="s">
        <v>16</v>
      </c>
      <c r="F35" s="2"/>
    </row>
    <row r="36" customFormat="false" ht="15" hidden="false" customHeight="false" outlineLevel="0" collapsed="false">
      <c r="A36" s="2" t="s">
        <v>174</v>
      </c>
      <c r="B36" s="2" t="s">
        <v>200</v>
      </c>
      <c r="C36" s="2" t="n">
        <v>1</v>
      </c>
      <c r="D36" s="2"/>
      <c r="E36" s="3" t="s">
        <v>16</v>
      </c>
      <c r="F36" s="2"/>
    </row>
    <row r="37" customFormat="false" ht="15" hidden="false" customHeight="false" outlineLevel="0" collapsed="false">
      <c r="A37" s="2" t="s">
        <v>174</v>
      </c>
      <c r="B37" s="2" t="s">
        <v>204</v>
      </c>
      <c r="C37" s="2" t="n">
        <v>1</v>
      </c>
      <c r="D37" s="2"/>
      <c r="E37" s="3" t="s">
        <v>16</v>
      </c>
      <c r="F37" s="2"/>
    </row>
    <row r="38" customFormat="false" ht="15" hidden="false" customHeight="false" outlineLevel="0" collapsed="false">
      <c r="A38" s="2" t="s">
        <v>174</v>
      </c>
      <c r="B38" s="2" t="s">
        <v>207</v>
      </c>
      <c r="C38" s="2" t="n">
        <v>1</v>
      </c>
      <c r="D38" s="2"/>
      <c r="E38" s="3" t="s">
        <v>16</v>
      </c>
      <c r="F38" s="2"/>
    </row>
    <row r="39" customFormat="false" ht="15" hidden="false" customHeight="false" outlineLevel="0" collapsed="false">
      <c r="A39" s="2" t="s">
        <v>174</v>
      </c>
      <c r="B39" s="2" t="s">
        <v>210</v>
      </c>
      <c r="C39" s="2" t="n">
        <v>1</v>
      </c>
      <c r="D39" s="2"/>
      <c r="E39" s="3" t="s">
        <v>16</v>
      </c>
      <c r="F39" s="2"/>
    </row>
    <row r="40" customFormat="false" ht="15" hidden="false" customHeight="false" outlineLevel="0" collapsed="false">
      <c r="A40" s="2" t="s">
        <v>174</v>
      </c>
      <c r="B40" s="2" t="s">
        <v>213</v>
      </c>
      <c r="C40" s="2" t="n">
        <v>1</v>
      </c>
      <c r="D40" s="2"/>
      <c r="E40" s="3" t="s">
        <v>16</v>
      </c>
      <c r="F40" s="2"/>
    </row>
    <row r="41" customFormat="false" ht="15" hidden="false" customHeight="false" outlineLevel="0" collapsed="false">
      <c r="A41" s="2" t="s">
        <v>174</v>
      </c>
      <c r="B41" s="2" t="s">
        <v>216</v>
      </c>
      <c r="C41" s="2" t="n">
        <v>1</v>
      </c>
      <c r="D41" s="2"/>
      <c r="E41" s="3" t="s">
        <v>16</v>
      </c>
      <c r="F41" s="2"/>
    </row>
    <row r="42" customFormat="false" ht="15" hidden="false" customHeight="false" outlineLevel="0" collapsed="false">
      <c r="A42" s="2" t="s">
        <v>174</v>
      </c>
      <c r="B42" s="2" t="s">
        <v>219</v>
      </c>
      <c r="C42" s="2" t="n">
        <v>1</v>
      </c>
      <c r="D42" s="2"/>
      <c r="E42" s="3" t="s">
        <v>16</v>
      </c>
      <c r="F42" s="2"/>
    </row>
    <row r="43" customFormat="false" ht="15" hidden="false" customHeight="false" outlineLevel="0" collapsed="false">
      <c r="A43" s="2" t="s">
        <v>174</v>
      </c>
      <c r="B43" s="2" t="s">
        <v>223</v>
      </c>
      <c r="C43" s="2" t="n">
        <v>1</v>
      </c>
      <c r="D43" s="2"/>
      <c r="E43" s="3" t="s">
        <v>16</v>
      </c>
      <c r="F43" s="2"/>
    </row>
    <row r="44" customFormat="false" ht="15" hidden="false" customHeight="false" outlineLevel="0" collapsed="false">
      <c r="A44" s="2" t="s">
        <v>227</v>
      </c>
      <c r="B44" s="2" t="s">
        <v>228</v>
      </c>
      <c r="C44" s="2" t="n">
        <v>2</v>
      </c>
      <c r="D44" s="2"/>
      <c r="E44" s="3" t="s">
        <v>16</v>
      </c>
      <c r="F44" s="2"/>
    </row>
    <row r="45" customFormat="false" ht="15" hidden="false" customHeight="false" outlineLevel="0" collapsed="false">
      <c r="A45" s="2" t="s">
        <v>227</v>
      </c>
      <c r="B45" s="2" t="s">
        <v>234</v>
      </c>
      <c r="C45" s="2" t="n">
        <v>4</v>
      </c>
      <c r="D45" s="2"/>
      <c r="E45" s="3" t="s">
        <v>16</v>
      </c>
      <c r="F45" s="2"/>
    </row>
    <row r="46" customFormat="false" ht="15" hidden="false" customHeight="false" outlineLevel="0" collapsed="false">
      <c r="A46" s="2" t="s">
        <v>227</v>
      </c>
      <c r="B46" s="2" t="s">
        <v>247</v>
      </c>
      <c r="C46" s="2" t="n">
        <v>1</v>
      </c>
      <c r="D46" s="2"/>
      <c r="E46" s="3" t="s">
        <v>16</v>
      </c>
      <c r="F46" s="2"/>
    </row>
    <row r="47" customFormat="false" ht="15" hidden="false" customHeight="false" outlineLevel="0" collapsed="false">
      <c r="A47" s="2" t="s">
        <v>251</v>
      </c>
      <c r="B47" s="2" t="s">
        <v>252</v>
      </c>
      <c r="C47" s="2" t="n">
        <v>1</v>
      </c>
      <c r="D47" s="2"/>
      <c r="E47" s="3" t="s">
        <v>16</v>
      </c>
      <c r="F47" s="2"/>
    </row>
    <row r="48" customFormat="false" ht="15" hidden="false" customHeight="false" outlineLevel="0" collapsed="false">
      <c r="A48" s="2" t="s">
        <v>251</v>
      </c>
      <c r="B48" s="2" t="s">
        <v>256</v>
      </c>
      <c r="C48" s="2" t="n">
        <v>5</v>
      </c>
      <c r="D48" s="2"/>
      <c r="E48" s="3" t="s">
        <v>16</v>
      </c>
      <c r="F48" s="2"/>
    </row>
    <row r="49" customFormat="false" ht="15" hidden="false" customHeight="false" outlineLevel="0" collapsed="false">
      <c r="A49" s="2" t="s">
        <v>251</v>
      </c>
      <c r="B49" s="2" t="s">
        <v>272</v>
      </c>
      <c r="C49" s="2" t="n">
        <v>1</v>
      </c>
      <c r="D49" s="2"/>
      <c r="E49" s="3" t="s">
        <v>16</v>
      </c>
      <c r="F49" s="2"/>
    </row>
    <row r="50" customFormat="false" ht="15" hidden="false" customHeight="false" outlineLevel="0" collapsed="false">
      <c r="A50" s="2" t="s">
        <v>276</v>
      </c>
      <c r="B50" s="2" t="s">
        <v>277</v>
      </c>
      <c r="C50" s="2" t="n">
        <v>6</v>
      </c>
      <c r="D50" s="2"/>
      <c r="E50" s="3" t="s">
        <v>16</v>
      </c>
      <c r="F50" s="2"/>
    </row>
    <row r="51" customFormat="false" ht="15" hidden="false" customHeight="false" outlineLevel="0" collapsed="false">
      <c r="A51" s="2" t="s">
        <v>276</v>
      </c>
      <c r="B51" s="2" t="s">
        <v>296</v>
      </c>
      <c r="C51" s="2" t="n">
        <v>1</v>
      </c>
      <c r="D51" s="2"/>
      <c r="E51" s="3" t="s">
        <v>16</v>
      </c>
      <c r="F51" s="2"/>
    </row>
    <row r="52" customFormat="false" ht="15" hidden="false" customHeight="false" outlineLevel="0" collapsed="false">
      <c r="A52" s="2" t="s">
        <v>276</v>
      </c>
      <c r="B52" s="2" t="s">
        <v>300</v>
      </c>
      <c r="C52" s="2" t="n">
        <v>1</v>
      </c>
      <c r="D52" s="2"/>
      <c r="E52" s="3" t="s">
        <v>16</v>
      </c>
      <c r="F52" s="2"/>
    </row>
    <row r="53" customFormat="false" ht="15" hidden="false" customHeight="false" outlineLevel="0" collapsed="false">
      <c r="A53" s="2" t="s">
        <v>304</v>
      </c>
      <c r="B53" s="2" t="s">
        <v>305</v>
      </c>
      <c r="C53" s="2" t="n">
        <v>3</v>
      </c>
      <c r="D53" s="2"/>
      <c r="E53" s="3" t="s">
        <v>16</v>
      </c>
      <c r="F53" s="2"/>
    </row>
    <row r="54" customFormat="false" ht="15" hidden="false" customHeight="false" outlineLevel="0" collapsed="false">
      <c r="A54" s="2" t="s">
        <v>304</v>
      </c>
      <c r="B54" s="2" t="s">
        <v>315</v>
      </c>
      <c r="C54" s="2" t="n">
        <v>3</v>
      </c>
      <c r="D54" s="2"/>
      <c r="E54" s="3" t="s">
        <v>16</v>
      </c>
      <c r="F54" s="2"/>
    </row>
    <row r="55" customFormat="false" ht="15" hidden="false" customHeight="false" outlineLevel="0" collapsed="false">
      <c r="A55" s="2" t="s">
        <v>304</v>
      </c>
      <c r="B55" s="2" t="s">
        <v>325</v>
      </c>
      <c r="C55" s="2" t="n">
        <v>2</v>
      </c>
      <c r="D55" s="2"/>
      <c r="E55" s="3" t="s">
        <v>16</v>
      </c>
      <c r="F55" s="2"/>
    </row>
    <row r="56" customFormat="false" ht="15" hidden="false" customHeight="false" outlineLevel="0" collapsed="false">
      <c r="A56" s="2" t="s">
        <v>331</v>
      </c>
      <c r="B56" s="2" t="s">
        <v>332</v>
      </c>
      <c r="C56" s="2" t="n">
        <v>1</v>
      </c>
      <c r="D56" s="2"/>
      <c r="E56" s="3" t="s">
        <v>16</v>
      </c>
      <c r="F56" s="2"/>
    </row>
    <row r="57" customFormat="false" ht="15" hidden="false" customHeight="false" outlineLevel="0" collapsed="false">
      <c r="A57" s="2" t="s">
        <v>331</v>
      </c>
      <c r="B57" s="2" t="s">
        <v>335</v>
      </c>
      <c r="C57" s="2" t="n">
        <v>1</v>
      </c>
      <c r="D57" s="2"/>
      <c r="E57" s="3" t="s">
        <v>16</v>
      </c>
      <c r="F57" s="2"/>
    </row>
    <row r="58" customFormat="false" ht="15" hidden="false" customHeight="false" outlineLevel="0" collapsed="false">
      <c r="A58" s="2" t="s">
        <v>331</v>
      </c>
      <c r="B58" s="2" t="s">
        <v>339</v>
      </c>
      <c r="C58" s="2" t="n">
        <v>2</v>
      </c>
      <c r="D58" s="2"/>
      <c r="E58" s="3" t="s">
        <v>16</v>
      </c>
      <c r="F58" s="2"/>
    </row>
    <row r="59" customFormat="false" ht="15" hidden="false" customHeight="false" outlineLevel="0" collapsed="false">
      <c r="A59" s="2" t="s">
        <v>331</v>
      </c>
      <c r="B59" s="2" t="s">
        <v>342</v>
      </c>
      <c r="C59" s="2" t="n">
        <v>1</v>
      </c>
      <c r="D59" s="2"/>
      <c r="E59" s="3" t="s">
        <v>16</v>
      </c>
      <c r="F59" s="2"/>
    </row>
    <row r="60" customFormat="false" ht="15" hidden="false" customHeight="false" outlineLevel="0" collapsed="false">
      <c r="A60" s="2" t="s">
        <v>331</v>
      </c>
      <c r="B60" s="2" t="s">
        <v>345</v>
      </c>
      <c r="C60" s="2" t="n">
        <v>1</v>
      </c>
      <c r="D60" s="2"/>
      <c r="E60" s="3" t="s">
        <v>16</v>
      </c>
      <c r="F60" s="2"/>
    </row>
    <row r="61" customFormat="false" ht="15" hidden="false" customHeight="false" outlineLevel="0" collapsed="false">
      <c r="A61" s="2" t="s">
        <v>350</v>
      </c>
      <c r="B61" s="2" t="s">
        <v>351</v>
      </c>
      <c r="C61" s="2" t="n">
        <v>1</v>
      </c>
      <c r="D61" s="2"/>
      <c r="E61" s="3" t="s">
        <v>16</v>
      </c>
      <c r="F61" s="2"/>
    </row>
    <row r="62" customFormat="false" ht="15" hidden="false" customHeight="false" outlineLevel="0" collapsed="false">
      <c r="A62" s="2" t="s">
        <v>350</v>
      </c>
      <c r="B62" s="2" t="s">
        <v>355</v>
      </c>
      <c r="C62" s="2" t="n">
        <v>1</v>
      </c>
      <c r="D62" s="2"/>
      <c r="E62" s="3" t="s">
        <v>16</v>
      </c>
      <c r="F62" s="2"/>
    </row>
    <row r="63" customFormat="false" ht="15" hidden="false" customHeight="false" outlineLevel="0" collapsed="false">
      <c r="A63" s="2" t="s">
        <v>350</v>
      </c>
      <c r="B63" s="2" t="s">
        <v>359</v>
      </c>
      <c r="C63" s="2" t="n">
        <v>1</v>
      </c>
      <c r="D63" s="2"/>
      <c r="E63" s="3" t="s">
        <v>16</v>
      </c>
      <c r="F63" s="2"/>
    </row>
    <row r="64" customFormat="false" ht="15" hidden="false" customHeight="false" outlineLevel="0" collapsed="false">
      <c r="A64" s="2" t="s">
        <v>350</v>
      </c>
      <c r="B64" s="2" t="s">
        <v>363</v>
      </c>
      <c r="C64" s="2" t="n">
        <v>1</v>
      </c>
      <c r="D64" s="2"/>
      <c r="E64" s="3" t="s">
        <v>16</v>
      </c>
      <c r="F64" s="2"/>
    </row>
    <row r="65" customFormat="false" ht="15" hidden="false" customHeight="false" outlineLevel="0" collapsed="false">
      <c r="A65" s="2" t="s">
        <v>350</v>
      </c>
      <c r="B65" s="2" t="s">
        <v>367</v>
      </c>
      <c r="C65" s="2" t="n">
        <v>7</v>
      </c>
      <c r="D65" s="2"/>
      <c r="E65" s="3" t="s">
        <v>16</v>
      </c>
      <c r="F65" s="2"/>
    </row>
    <row r="66" customFormat="false" ht="15" hidden="false" customHeight="false" outlineLevel="0" collapsed="false">
      <c r="A66" s="2" t="s">
        <v>350</v>
      </c>
      <c r="B66" s="2" t="s">
        <v>389</v>
      </c>
      <c r="C66" s="2" t="n">
        <v>1</v>
      </c>
      <c r="D66" s="2"/>
      <c r="E66" s="3" t="s">
        <v>16</v>
      </c>
      <c r="F66" s="2"/>
    </row>
    <row r="67" customFormat="false" ht="15" hidden="false" customHeight="false" outlineLevel="0" collapsed="false">
      <c r="A67" s="2" t="s">
        <v>350</v>
      </c>
      <c r="B67" s="2" t="s">
        <v>393</v>
      </c>
      <c r="C67" s="2" t="n">
        <v>2</v>
      </c>
      <c r="D67" s="2"/>
      <c r="E67" s="3" t="s">
        <v>16</v>
      </c>
      <c r="F67" s="2"/>
    </row>
    <row r="68" customFormat="false" ht="15" hidden="false" customHeight="false" outlineLevel="0" collapsed="false">
      <c r="A68" s="2" t="s">
        <v>350</v>
      </c>
      <c r="B68" s="2" t="s">
        <v>400</v>
      </c>
      <c r="C68" s="2" t="n">
        <v>1</v>
      </c>
      <c r="D68" s="2"/>
      <c r="E68" s="3" t="s">
        <v>16</v>
      </c>
      <c r="F68" s="2"/>
    </row>
    <row r="69" customFormat="false" ht="15" hidden="false" customHeight="false" outlineLevel="0" collapsed="false">
      <c r="A69" s="2" t="s">
        <v>404</v>
      </c>
      <c r="B69" s="2" t="s">
        <v>405</v>
      </c>
      <c r="C69" s="2" t="n">
        <v>1</v>
      </c>
      <c r="D69" s="2"/>
      <c r="E69" s="3" t="s">
        <v>16</v>
      </c>
      <c r="F69" s="2"/>
    </row>
    <row r="70" customFormat="false" ht="15" hidden="false" customHeight="false" outlineLevel="0" collapsed="false">
      <c r="A70" s="2" t="s">
        <v>404</v>
      </c>
      <c r="B70" s="2" t="s">
        <v>409</v>
      </c>
      <c r="C70" s="2" t="n">
        <v>1</v>
      </c>
      <c r="D70" s="2"/>
      <c r="E70" s="3" t="s">
        <v>16</v>
      </c>
      <c r="F70" s="2"/>
    </row>
    <row r="71" customFormat="false" ht="15" hidden="false" customHeight="false" outlineLevel="0" collapsed="false">
      <c r="A71" s="2" t="s">
        <v>404</v>
      </c>
      <c r="B71" s="2" t="s">
        <v>413</v>
      </c>
      <c r="C71" s="2" t="n">
        <v>4</v>
      </c>
      <c r="D71" s="2"/>
      <c r="E71" s="3" t="s">
        <v>16</v>
      </c>
      <c r="F71" s="2"/>
    </row>
    <row r="72" customFormat="false" ht="15" hidden="false" customHeight="false" outlineLevel="0" collapsed="false">
      <c r="A72" s="2" t="s">
        <v>404</v>
      </c>
      <c r="B72" s="2" t="s">
        <v>426</v>
      </c>
      <c r="C72" s="2" t="n">
        <v>1</v>
      </c>
      <c r="D72" s="2"/>
      <c r="E72" s="3" t="s">
        <v>16</v>
      </c>
      <c r="F72" s="2"/>
    </row>
    <row r="73" customFormat="false" ht="15" hidden="false" customHeight="false" outlineLevel="0" collapsed="false">
      <c r="A73" s="2" t="s">
        <v>404</v>
      </c>
      <c r="B73" s="2" t="s">
        <v>194</v>
      </c>
      <c r="C73" s="2" t="n">
        <v>1</v>
      </c>
      <c r="D73" s="2"/>
      <c r="E73" s="3" t="s">
        <v>16</v>
      </c>
      <c r="F73" s="2"/>
    </row>
    <row r="74" customFormat="false" ht="15" hidden="false" customHeight="false" outlineLevel="0" collapsed="false">
      <c r="A74" s="2" t="s">
        <v>404</v>
      </c>
      <c r="B74" s="2" t="s">
        <v>432</v>
      </c>
      <c r="C74" s="2" t="n">
        <v>1</v>
      </c>
      <c r="D74" s="2"/>
      <c r="E74" s="3" t="s">
        <v>16</v>
      </c>
      <c r="F74" s="2"/>
    </row>
    <row r="75" customFormat="false" ht="15" hidden="false" customHeight="false" outlineLevel="0" collapsed="false">
      <c r="A75" s="2" t="s">
        <v>404</v>
      </c>
      <c r="B75" s="2" t="s">
        <v>435</v>
      </c>
      <c r="C75" s="2" t="n">
        <v>1</v>
      </c>
      <c r="D75" s="2"/>
      <c r="E75" s="3" t="s">
        <v>16</v>
      </c>
      <c r="F75" s="2"/>
    </row>
    <row r="76" customFormat="false" ht="15" hidden="false" customHeight="false" outlineLevel="0" collapsed="false">
      <c r="A76" s="2" t="s">
        <v>438</v>
      </c>
      <c r="B76" s="2" t="s">
        <v>439</v>
      </c>
      <c r="C76" s="2" t="n">
        <v>5</v>
      </c>
      <c r="D76" s="2"/>
      <c r="E76" s="3" t="s">
        <v>16</v>
      </c>
      <c r="F76" s="2"/>
    </row>
    <row r="77" customFormat="false" ht="15" hidden="false" customHeight="false" outlineLevel="0" collapsed="false">
      <c r="A77" s="2" t="s">
        <v>438</v>
      </c>
      <c r="B77" s="2" t="s">
        <v>454</v>
      </c>
      <c r="C77" s="2" t="n">
        <v>5</v>
      </c>
      <c r="D77" s="2"/>
      <c r="E77" s="3" t="s">
        <v>16</v>
      </c>
      <c r="F77" s="2"/>
    </row>
    <row r="78" customFormat="false" ht="15" hidden="false" customHeight="false" outlineLevel="0" collapsed="false">
      <c r="A78" s="2" t="s">
        <v>438</v>
      </c>
      <c r="B78" s="2" t="s">
        <v>470</v>
      </c>
      <c r="C78" s="2" t="n">
        <v>1</v>
      </c>
      <c r="D78" s="2"/>
      <c r="E78" s="3" t="s">
        <v>16</v>
      </c>
      <c r="F78" s="2"/>
    </row>
    <row r="79" customFormat="false" ht="15" hidden="false" customHeight="false" outlineLevel="0" collapsed="false">
      <c r="A79" s="2" t="s">
        <v>474</v>
      </c>
      <c r="B79" s="2" t="s">
        <v>475</v>
      </c>
      <c r="C79" s="2" t="n">
        <v>2</v>
      </c>
      <c r="D79" s="2"/>
      <c r="E79" s="3" t="s">
        <v>16</v>
      </c>
      <c r="F79" s="2"/>
    </row>
    <row r="80" customFormat="false" ht="15" hidden="false" customHeight="false" outlineLevel="0" collapsed="false">
      <c r="A80" s="2" t="s">
        <v>474</v>
      </c>
      <c r="B80" s="2" t="s">
        <v>481</v>
      </c>
      <c r="C80" s="2" t="n">
        <v>1</v>
      </c>
      <c r="D80" s="2"/>
      <c r="E80" s="3" t="s">
        <v>16</v>
      </c>
      <c r="F80" s="2"/>
    </row>
    <row r="81" customFormat="false" ht="15" hidden="false" customHeight="false" outlineLevel="0" collapsed="false">
      <c r="A81" s="2" t="s">
        <v>474</v>
      </c>
      <c r="B81" s="2" t="s">
        <v>485</v>
      </c>
      <c r="C81" s="2" t="n">
        <v>1</v>
      </c>
      <c r="D81" s="2"/>
      <c r="E81" s="3" t="s">
        <v>16</v>
      </c>
      <c r="F81" s="2"/>
    </row>
    <row r="82" customFormat="false" ht="15" hidden="false" customHeight="false" outlineLevel="0" collapsed="false">
      <c r="A82" s="2" t="s">
        <v>474</v>
      </c>
      <c r="B82" s="2" t="s">
        <v>489</v>
      </c>
      <c r="C82" s="2" t="n">
        <v>1</v>
      </c>
      <c r="D82" s="2"/>
      <c r="E82" s="3" t="s">
        <v>16</v>
      </c>
      <c r="F82" s="2"/>
    </row>
    <row r="83" customFormat="false" ht="15" hidden="false" customHeight="false" outlineLevel="0" collapsed="false">
      <c r="A83" s="2" t="s">
        <v>474</v>
      </c>
      <c r="B83" s="2" t="s">
        <v>492</v>
      </c>
      <c r="C83" s="2" t="n">
        <v>1</v>
      </c>
      <c r="D83" s="2"/>
      <c r="E83" s="3" t="s">
        <v>16</v>
      </c>
      <c r="F83" s="2"/>
    </row>
    <row r="84" customFormat="false" ht="15" hidden="false" customHeight="false" outlineLevel="0" collapsed="false">
      <c r="A84" s="2" t="s">
        <v>496</v>
      </c>
      <c r="B84" s="2" t="s">
        <v>497</v>
      </c>
      <c r="C84" s="2" t="n">
        <v>1</v>
      </c>
      <c r="D84" s="2"/>
      <c r="E84" s="3" t="s">
        <v>16</v>
      </c>
      <c r="F84" s="2"/>
    </row>
    <row r="85" customFormat="false" ht="15" hidden="false" customHeight="false" outlineLevel="0" collapsed="false">
      <c r="A85" s="2" t="s">
        <v>496</v>
      </c>
      <c r="B85" s="2" t="s">
        <v>501</v>
      </c>
      <c r="C85" s="2" t="n">
        <v>5</v>
      </c>
      <c r="D85" s="2"/>
      <c r="E85" s="3" t="s">
        <v>16</v>
      </c>
      <c r="F85" s="2"/>
    </row>
    <row r="86" customFormat="false" ht="15" hidden="false" customHeight="false" outlineLevel="0" collapsed="false">
      <c r="A86" s="2" t="s">
        <v>496</v>
      </c>
      <c r="B86" s="2" t="s">
        <v>403</v>
      </c>
      <c r="C86" s="2" t="n">
        <v>1</v>
      </c>
      <c r="D86" s="2"/>
      <c r="E86" s="3" t="s">
        <v>16</v>
      </c>
      <c r="F86" s="2"/>
    </row>
    <row r="87" customFormat="false" ht="15" hidden="false" customHeight="false" outlineLevel="0" collapsed="false">
      <c r="A87" s="2" t="s">
        <v>520</v>
      </c>
      <c r="B87" s="2" t="s">
        <v>521</v>
      </c>
      <c r="C87" s="2" t="n">
        <v>1</v>
      </c>
      <c r="D87" s="2"/>
      <c r="E87" s="3" t="s">
        <v>16</v>
      </c>
      <c r="F87" s="2"/>
    </row>
    <row r="88" customFormat="false" ht="15" hidden="false" customHeight="false" outlineLevel="0" collapsed="false">
      <c r="A88" s="2" t="s">
        <v>520</v>
      </c>
      <c r="B88" s="2" t="s">
        <v>524</v>
      </c>
      <c r="C88" s="2" t="n">
        <v>1</v>
      </c>
      <c r="D88" s="2"/>
      <c r="E88" s="3" t="s">
        <v>16</v>
      </c>
      <c r="F88" s="2"/>
    </row>
    <row r="89" customFormat="false" ht="15" hidden="false" customHeight="false" outlineLevel="0" collapsed="false">
      <c r="A89" s="2" t="s">
        <v>520</v>
      </c>
      <c r="B89" s="2" t="s">
        <v>528</v>
      </c>
      <c r="C89" s="2" t="n">
        <v>1</v>
      </c>
      <c r="D89" s="2"/>
      <c r="E89" s="3" t="s">
        <v>16</v>
      </c>
      <c r="F89" s="2"/>
    </row>
    <row r="90" customFormat="false" ht="15" hidden="false" customHeight="false" outlineLevel="0" collapsed="false">
      <c r="A90" s="2" t="s">
        <v>520</v>
      </c>
      <c r="B90" s="2" t="s">
        <v>532</v>
      </c>
      <c r="C90" s="2" t="n">
        <v>1</v>
      </c>
      <c r="D90" s="2"/>
      <c r="E90" s="3" t="s">
        <v>16</v>
      </c>
      <c r="F90" s="2"/>
    </row>
    <row r="91" customFormat="false" ht="15" hidden="false" customHeight="false" outlineLevel="0" collapsed="false">
      <c r="A91" s="2" t="s">
        <v>520</v>
      </c>
      <c r="B91" s="2" t="s">
        <v>536</v>
      </c>
      <c r="C91" s="2" t="n">
        <v>1</v>
      </c>
      <c r="D91" s="2"/>
      <c r="E91" s="3" t="s">
        <v>16</v>
      </c>
      <c r="F91" s="2"/>
    </row>
    <row r="92" customFormat="false" ht="15" hidden="false" customHeight="false" outlineLevel="0" collapsed="false">
      <c r="A92" s="2" t="s">
        <v>520</v>
      </c>
      <c r="B92" s="2" t="s">
        <v>540</v>
      </c>
      <c r="C92" s="2" t="n">
        <v>1</v>
      </c>
      <c r="D92" s="2"/>
      <c r="E92" s="3" t="s">
        <v>16</v>
      </c>
      <c r="F92" s="2"/>
    </row>
    <row r="93" customFormat="false" ht="15" hidden="false" customHeight="false" outlineLevel="0" collapsed="false">
      <c r="A93" s="2" t="s">
        <v>544</v>
      </c>
      <c r="B93" s="2" t="s">
        <v>545</v>
      </c>
      <c r="C93" s="2" t="n">
        <v>4</v>
      </c>
      <c r="D93" s="2"/>
      <c r="E93" s="3" t="s">
        <v>16</v>
      </c>
      <c r="F93" s="2"/>
    </row>
    <row r="94" customFormat="false" ht="15" hidden="false" customHeight="false" outlineLevel="0" collapsed="false">
      <c r="A94" s="2" t="s">
        <v>544</v>
      </c>
      <c r="B94" s="2" t="s">
        <v>558</v>
      </c>
      <c r="C94" s="2" t="n">
        <v>1</v>
      </c>
      <c r="D94" s="2"/>
      <c r="E94" s="3" t="s">
        <v>16</v>
      </c>
      <c r="F94" s="2"/>
    </row>
    <row r="95" customFormat="false" ht="15" hidden="false" customHeight="false" outlineLevel="0" collapsed="false">
      <c r="A95" s="2" t="s">
        <v>544</v>
      </c>
      <c r="B95" s="2" t="s">
        <v>342</v>
      </c>
      <c r="C95" s="2" t="n">
        <v>1</v>
      </c>
      <c r="D95" s="2"/>
      <c r="E95" s="3" t="s">
        <v>16</v>
      </c>
      <c r="F95" s="2"/>
    </row>
    <row r="96" customFormat="false" ht="15" hidden="false" customHeight="false" outlineLevel="0" collapsed="false">
      <c r="A96" s="2" t="s">
        <v>564</v>
      </c>
      <c r="B96" s="2" t="s">
        <v>565</v>
      </c>
      <c r="C96" s="2" t="n">
        <v>1</v>
      </c>
      <c r="D96" s="2"/>
      <c r="E96" s="3" t="s">
        <v>16</v>
      </c>
      <c r="F96" s="2"/>
    </row>
    <row r="97" customFormat="false" ht="15" hidden="false" customHeight="false" outlineLevel="0" collapsed="false">
      <c r="A97" s="2" t="s">
        <v>564</v>
      </c>
      <c r="B97" s="2" t="s">
        <v>342</v>
      </c>
      <c r="C97" s="2" t="n">
        <v>1</v>
      </c>
      <c r="D97" s="2"/>
      <c r="E97" s="3" t="s">
        <v>16</v>
      </c>
      <c r="F97" s="2"/>
    </row>
    <row r="98" customFormat="false" ht="15" hidden="false" customHeight="false" outlineLevel="0" collapsed="false">
      <c r="A98" s="2" t="s">
        <v>564</v>
      </c>
      <c r="B98" s="2" t="s">
        <v>572</v>
      </c>
      <c r="C98" s="2" t="n">
        <v>1</v>
      </c>
      <c r="D98" s="2"/>
      <c r="E98" s="3" t="s">
        <v>16</v>
      </c>
      <c r="F98" s="2"/>
    </row>
    <row r="99" customFormat="false" ht="15" hidden="false" customHeight="false" outlineLevel="0" collapsed="false">
      <c r="A99" s="2" t="s">
        <v>564</v>
      </c>
      <c r="B99" s="2" t="s">
        <v>576</v>
      </c>
      <c r="C99" s="2" t="n">
        <v>1</v>
      </c>
      <c r="D99" s="2"/>
      <c r="E99" s="3" t="s">
        <v>16</v>
      </c>
      <c r="F99" s="2"/>
    </row>
    <row r="100" customFormat="false" ht="15" hidden="false" customHeight="false" outlineLevel="0" collapsed="false">
      <c r="A100" s="2" t="s">
        <v>564</v>
      </c>
      <c r="B100" s="2" t="s">
        <v>579</v>
      </c>
      <c r="C100" s="2" t="n">
        <v>1</v>
      </c>
      <c r="D100" s="2"/>
      <c r="E100" s="3" t="s">
        <v>16</v>
      </c>
      <c r="F100" s="2"/>
    </row>
    <row r="101" customFormat="false" ht="15" hidden="false" customHeight="false" outlineLevel="0" collapsed="false">
      <c r="A101" s="0" t="s">
        <v>564</v>
      </c>
      <c r="B101" s="0" t="s">
        <v>492</v>
      </c>
      <c r="C101" s="0" t="n">
        <v>2</v>
      </c>
      <c r="E101" s="4" t="s">
        <v>16</v>
      </c>
    </row>
    <row r="102" customFormat="false" ht="15" hidden="false" customHeight="false" outlineLevel="0" collapsed="false">
      <c r="A102" s="0" t="s">
        <v>564</v>
      </c>
      <c r="B102" s="0" t="s">
        <v>589</v>
      </c>
      <c r="C102" s="0" t="n">
        <v>2</v>
      </c>
      <c r="E102" s="4" t="s">
        <v>16</v>
      </c>
    </row>
    <row r="103" customFormat="false" ht="15" hidden="false" customHeight="false" outlineLevel="0" collapsed="false">
      <c r="A103" s="0" t="s">
        <v>564</v>
      </c>
      <c r="B103" s="0" t="s">
        <v>596</v>
      </c>
      <c r="C103" s="0" t="n">
        <v>3</v>
      </c>
      <c r="E103" s="4" t="s">
        <v>16</v>
      </c>
    </row>
  </sheetData>
  <autoFilter ref="A1:F100"/>
  <dataValidations count="1">
    <dataValidation allowBlank="true" errorStyle="stop" operator="between" showDropDown="false" showErrorMessage="false" showInputMessage="false" sqref="E2:E103" type="list">
      <formula1>"Not Started,In Progress,Blocked,Done,Skipped"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4" min="3" style="0" width="42"/>
    <col collapsed="false" customWidth="true" hidden="false" outlineLevel="0" max="5" min="5" style="0" width="70"/>
    <col collapsed="false" customWidth="true" hidden="false" outlineLevel="0" max="6" min="6" style="0" width="16"/>
    <col collapsed="false" customWidth="true" hidden="false" outlineLevel="0" max="7" min="7" style="0" width="35"/>
  </cols>
  <sheetData>
    <row r="1" customFormat="false" ht="15" hidden="false" customHeight="false" outlineLevel="0" collapsed="false">
      <c r="A1" s="5" t="s">
        <v>1</v>
      </c>
      <c r="B1" s="5" t="s">
        <v>608</v>
      </c>
      <c r="C1" s="5" t="s">
        <v>609</v>
      </c>
      <c r="D1" s="5" t="s">
        <v>610</v>
      </c>
      <c r="E1" s="5" t="s">
        <v>611</v>
      </c>
      <c r="F1" s="5" t="s">
        <v>8</v>
      </c>
      <c r="G1" s="5" t="s">
        <v>9</v>
      </c>
    </row>
    <row r="2" customFormat="false" ht="15" hidden="false" customHeight="false" outlineLevel="0" collapsed="false">
      <c r="A2" s="0" t="n">
        <v>1</v>
      </c>
      <c r="B2" s="0" t="s">
        <v>612</v>
      </c>
      <c r="C2" s="0" t="s">
        <v>10</v>
      </c>
      <c r="D2" s="0" t="s">
        <v>32</v>
      </c>
      <c r="E2" s="0" t="s">
        <v>613</v>
      </c>
      <c r="F2" s="0" t="s">
        <v>16</v>
      </c>
    </row>
    <row r="3" customFormat="false" ht="15" hidden="false" customHeight="false" outlineLevel="0" collapsed="false">
      <c r="A3" s="0" t="n">
        <v>2</v>
      </c>
      <c r="B3" s="0" t="s">
        <v>614</v>
      </c>
      <c r="C3" s="0" t="s">
        <v>10</v>
      </c>
      <c r="D3" s="0" t="s">
        <v>52</v>
      </c>
      <c r="E3" s="0" t="s">
        <v>613</v>
      </c>
      <c r="F3" s="0" t="s">
        <v>16</v>
      </c>
    </row>
    <row r="4" customFormat="false" ht="15" hidden="false" customHeight="false" outlineLevel="0" collapsed="false">
      <c r="A4" s="0" t="n">
        <v>3</v>
      </c>
      <c r="B4" s="0" t="s">
        <v>615</v>
      </c>
      <c r="C4" s="0" t="s">
        <v>53</v>
      </c>
      <c r="D4" s="0" t="s">
        <v>73</v>
      </c>
      <c r="E4" s="0" t="s">
        <v>613</v>
      </c>
      <c r="F4" s="0" t="s">
        <v>16</v>
      </c>
    </row>
    <row r="5" customFormat="false" ht="15" hidden="false" customHeight="false" outlineLevel="0" collapsed="false">
      <c r="A5" s="0" t="n">
        <v>4</v>
      </c>
      <c r="B5" s="0" t="s">
        <v>616</v>
      </c>
      <c r="C5" s="0" t="s">
        <v>617</v>
      </c>
      <c r="D5" s="0" t="s">
        <v>91</v>
      </c>
      <c r="E5" s="0" t="s">
        <v>613</v>
      </c>
      <c r="F5" s="0" t="s">
        <v>16</v>
      </c>
    </row>
    <row r="6" customFormat="false" ht="15" hidden="false" customHeight="false" outlineLevel="0" collapsed="false">
      <c r="A6" s="0" t="n">
        <v>5</v>
      </c>
      <c r="B6" s="0" t="s">
        <v>618</v>
      </c>
      <c r="C6" s="0" t="s">
        <v>77</v>
      </c>
      <c r="D6" s="0" t="s">
        <v>108</v>
      </c>
      <c r="E6" s="0" t="s">
        <v>613</v>
      </c>
      <c r="F6" s="0" t="s">
        <v>16</v>
      </c>
    </row>
    <row r="7" customFormat="false" ht="15" hidden="false" customHeight="false" outlineLevel="0" collapsed="false">
      <c r="A7" s="0" t="n">
        <v>6</v>
      </c>
      <c r="B7" s="0" t="s">
        <v>619</v>
      </c>
      <c r="C7" s="0" t="s">
        <v>620</v>
      </c>
      <c r="D7" s="0" t="s">
        <v>126</v>
      </c>
      <c r="E7" s="0" t="s">
        <v>613</v>
      </c>
      <c r="F7" s="0" t="s">
        <v>16</v>
      </c>
    </row>
    <row r="8" customFormat="false" ht="15" hidden="false" customHeight="false" outlineLevel="0" collapsed="false">
      <c r="A8" s="0" t="n">
        <v>7</v>
      </c>
      <c r="B8" s="0" t="s">
        <v>621</v>
      </c>
      <c r="C8" s="0" t="s">
        <v>116</v>
      </c>
      <c r="D8" s="0" t="s">
        <v>144</v>
      </c>
      <c r="E8" s="0" t="s">
        <v>613</v>
      </c>
      <c r="F8" s="0" t="s">
        <v>16</v>
      </c>
    </row>
    <row r="9" customFormat="false" ht="15" hidden="false" customHeight="false" outlineLevel="0" collapsed="false">
      <c r="A9" s="0" t="n">
        <v>8</v>
      </c>
      <c r="B9" s="0" t="s">
        <v>622</v>
      </c>
      <c r="C9" s="0" t="s">
        <v>623</v>
      </c>
      <c r="D9" s="0" t="s">
        <v>163</v>
      </c>
      <c r="E9" s="0" t="s">
        <v>613</v>
      </c>
      <c r="F9" s="0" t="s">
        <v>16</v>
      </c>
    </row>
    <row r="10" customFormat="false" ht="15" hidden="false" customHeight="false" outlineLevel="0" collapsed="false">
      <c r="A10" s="0" t="n">
        <v>9</v>
      </c>
      <c r="B10" s="0" t="s">
        <v>624</v>
      </c>
      <c r="C10" s="0" t="s">
        <v>625</v>
      </c>
      <c r="D10" s="0" t="s">
        <v>181</v>
      </c>
      <c r="E10" s="0" t="s">
        <v>613</v>
      </c>
      <c r="F10" s="0" t="s">
        <v>16</v>
      </c>
    </row>
    <row r="11" customFormat="false" ht="15" hidden="false" customHeight="false" outlineLevel="0" collapsed="false">
      <c r="A11" s="0" t="n">
        <v>10</v>
      </c>
      <c r="B11" s="0" t="s">
        <v>626</v>
      </c>
      <c r="C11" s="0" t="s">
        <v>174</v>
      </c>
      <c r="D11" s="0" t="s">
        <v>199</v>
      </c>
      <c r="E11" s="0" t="s">
        <v>613</v>
      </c>
      <c r="F11" s="0" t="s">
        <v>16</v>
      </c>
    </row>
    <row r="12" customFormat="false" ht="15" hidden="false" customHeight="false" outlineLevel="0" collapsed="false">
      <c r="A12" s="0" t="n">
        <v>11</v>
      </c>
      <c r="B12" s="0" t="s">
        <v>627</v>
      </c>
      <c r="C12" s="0" t="s">
        <v>174</v>
      </c>
      <c r="D12" s="0" t="s">
        <v>213</v>
      </c>
      <c r="E12" s="0" t="s">
        <v>613</v>
      </c>
      <c r="F12" s="0" t="s">
        <v>16</v>
      </c>
    </row>
    <row r="13" customFormat="false" ht="15" hidden="false" customHeight="false" outlineLevel="0" collapsed="false">
      <c r="A13" s="0" t="n">
        <v>12</v>
      </c>
      <c r="B13" s="0" t="s">
        <v>628</v>
      </c>
      <c r="C13" s="0" t="s">
        <v>629</v>
      </c>
      <c r="D13" s="0" t="s">
        <v>233</v>
      </c>
      <c r="E13" s="0" t="s">
        <v>613</v>
      </c>
      <c r="F13" s="0" t="s">
        <v>16</v>
      </c>
    </row>
    <row r="14" customFormat="false" ht="15" hidden="false" customHeight="false" outlineLevel="0" collapsed="false">
      <c r="A14" s="0" t="n">
        <v>13</v>
      </c>
      <c r="B14" s="0" t="s">
        <v>630</v>
      </c>
      <c r="C14" s="0" t="s">
        <v>227</v>
      </c>
      <c r="D14" s="0" t="s">
        <v>250</v>
      </c>
      <c r="E14" s="0" t="s">
        <v>613</v>
      </c>
      <c r="F14" s="0" t="s">
        <v>16</v>
      </c>
    </row>
    <row r="15" customFormat="false" ht="15" hidden="false" customHeight="false" outlineLevel="0" collapsed="false">
      <c r="A15" s="0" t="n">
        <v>14</v>
      </c>
      <c r="B15" s="0" t="s">
        <v>631</v>
      </c>
      <c r="C15" s="0" t="s">
        <v>251</v>
      </c>
      <c r="D15" s="0" t="s">
        <v>268</v>
      </c>
      <c r="E15" s="0" t="s">
        <v>613</v>
      </c>
      <c r="F15" s="0" t="s">
        <v>16</v>
      </c>
    </row>
    <row r="16" customFormat="false" ht="15" hidden="false" customHeight="false" outlineLevel="0" collapsed="false">
      <c r="A16" s="0" t="n">
        <v>15</v>
      </c>
      <c r="B16" s="0" t="s">
        <v>632</v>
      </c>
      <c r="C16" s="0" t="s">
        <v>633</v>
      </c>
      <c r="D16" s="0" t="s">
        <v>286</v>
      </c>
      <c r="E16" s="0" t="s">
        <v>613</v>
      </c>
      <c r="F16" s="0" t="s">
        <v>16</v>
      </c>
    </row>
    <row r="17" customFormat="false" ht="15" hidden="false" customHeight="false" outlineLevel="0" collapsed="false">
      <c r="A17" s="0" t="n">
        <v>16</v>
      </c>
      <c r="B17" s="0" t="s">
        <v>634</v>
      </c>
      <c r="C17" s="0" t="s">
        <v>276</v>
      </c>
      <c r="D17" s="0" t="s">
        <v>303</v>
      </c>
      <c r="E17" s="0" t="s">
        <v>613</v>
      </c>
      <c r="F17" s="0" t="s">
        <v>16</v>
      </c>
    </row>
    <row r="18" customFormat="false" ht="15" hidden="false" customHeight="false" outlineLevel="0" collapsed="false">
      <c r="A18" s="0" t="n">
        <v>17</v>
      </c>
      <c r="B18" s="0" t="s">
        <v>635</v>
      </c>
      <c r="C18" s="0" t="s">
        <v>304</v>
      </c>
      <c r="D18" s="0" t="s">
        <v>321</v>
      </c>
      <c r="E18" s="0" t="s">
        <v>613</v>
      </c>
      <c r="F18" s="0" t="s">
        <v>16</v>
      </c>
    </row>
    <row r="19" customFormat="false" ht="15" hidden="false" customHeight="false" outlineLevel="0" collapsed="false">
      <c r="A19" s="0" t="n">
        <v>18</v>
      </c>
      <c r="B19" s="0" t="s">
        <v>636</v>
      </c>
      <c r="C19" s="0" t="s">
        <v>637</v>
      </c>
      <c r="D19" s="0" t="s">
        <v>338</v>
      </c>
      <c r="E19" s="0" t="s">
        <v>613</v>
      </c>
      <c r="F19" s="0" t="s">
        <v>16</v>
      </c>
    </row>
    <row r="20" customFormat="false" ht="15" hidden="false" customHeight="false" outlineLevel="0" collapsed="false">
      <c r="A20" s="0" t="n">
        <v>19</v>
      </c>
      <c r="B20" s="0" t="s">
        <v>638</v>
      </c>
      <c r="C20" s="0" t="s">
        <v>639</v>
      </c>
      <c r="D20" s="0" t="s">
        <v>354</v>
      </c>
      <c r="E20" s="0" t="s">
        <v>613</v>
      </c>
      <c r="F20" s="0" t="s">
        <v>16</v>
      </c>
    </row>
    <row r="21" customFormat="false" ht="15" hidden="false" customHeight="false" outlineLevel="0" collapsed="false">
      <c r="A21" s="0" t="n">
        <v>20</v>
      </c>
      <c r="B21" s="0" t="s">
        <v>640</v>
      </c>
      <c r="C21" s="0" t="s">
        <v>350</v>
      </c>
      <c r="D21" s="0" t="s">
        <v>373</v>
      </c>
      <c r="E21" s="0" t="s">
        <v>613</v>
      </c>
      <c r="F21" s="0" t="s">
        <v>16</v>
      </c>
    </row>
    <row r="22" customFormat="false" ht="15" hidden="false" customHeight="false" outlineLevel="0" collapsed="false">
      <c r="A22" s="0" t="n">
        <v>21</v>
      </c>
      <c r="B22" s="0" t="s">
        <v>641</v>
      </c>
      <c r="C22" s="0" t="s">
        <v>350</v>
      </c>
      <c r="D22" s="0" t="s">
        <v>388</v>
      </c>
      <c r="E22" s="0" t="s">
        <v>613</v>
      </c>
      <c r="F22" s="0" t="s">
        <v>16</v>
      </c>
    </row>
    <row r="23" customFormat="false" ht="15" hidden="false" customHeight="false" outlineLevel="0" collapsed="false">
      <c r="A23" s="0" t="n">
        <v>22</v>
      </c>
      <c r="B23" s="0" t="s">
        <v>642</v>
      </c>
      <c r="C23" s="0" t="s">
        <v>643</v>
      </c>
      <c r="D23" s="0" t="s">
        <v>408</v>
      </c>
      <c r="E23" s="0" t="s">
        <v>613</v>
      </c>
      <c r="F23" s="0" t="s">
        <v>16</v>
      </c>
    </row>
    <row r="24" customFormat="false" ht="15" hidden="false" customHeight="false" outlineLevel="0" collapsed="false">
      <c r="A24" s="0" t="n">
        <v>23</v>
      </c>
      <c r="B24" s="0" t="s">
        <v>644</v>
      </c>
      <c r="C24" s="0" t="s">
        <v>404</v>
      </c>
      <c r="D24" s="0" t="s">
        <v>425</v>
      </c>
      <c r="E24" s="0" t="s">
        <v>613</v>
      </c>
      <c r="F24" s="0" t="s">
        <v>16</v>
      </c>
    </row>
    <row r="25" customFormat="false" ht="15" hidden="false" customHeight="false" outlineLevel="0" collapsed="false">
      <c r="A25" s="0" t="n">
        <v>24</v>
      </c>
      <c r="B25" s="0" t="s">
        <v>645</v>
      </c>
      <c r="C25" s="0" t="s">
        <v>646</v>
      </c>
      <c r="D25" s="0" t="s">
        <v>442</v>
      </c>
      <c r="E25" s="0" t="s">
        <v>613</v>
      </c>
      <c r="F25" s="0" t="s">
        <v>16</v>
      </c>
    </row>
    <row r="26" customFormat="false" ht="15" hidden="false" customHeight="false" outlineLevel="0" collapsed="false">
      <c r="A26" s="0" t="n">
        <v>25</v>
      </c>
      <c r="B26" s="0" t="s">
        <v>647</v>
      </c>
      <c r="C26" s="0" t="s">
        <v>438</v>
      </c>
      <c r="D26" s="0" t="s">
        <v>457</v>
      </c>
      <c r="E26" s="0" t="s">
        <v>613</v>
      </c>
      <c r="F26" s="0" t="s">
        <v>16</v>
      </c>
    </row>
    <row r="27" customFormat="false" ht="15" hidden="false" customHeight="false" outlineLevel="0" collapsed="false">
      <c r="A27" s="0" t="n">
        <v>26</v>
      </c>
      <c r="B27" s="0" t="s">
        <v>648</v>
      </c>
      <c r="C27" s="0" t="s">
        <v>438</v>
      </c>
      <c r="D27" s="0" t="s">
        <v>473</v>
      </c>
      <c r="E27" s="0" t="s">
        <v>613</v>
      </c>
      <c r="F27" s="0" t="s">
        <v>16</v>
      </c>
    </row>
    <row r="28" customFormat="false" ht="15" hidden="false" customHeight="false" outlineLevel="0" collapsed="false">
      <c r="A28" s="0" t="n">
        <v>27</v>
      </c>
      <c r="B28" s="0" t="s">
        <v>649</v>
      </c>
      <c r="C28" s="0" t="s">
        <v>474</v>
      </c>
      <c r="D28" s="0" t="s">
        <v>489</v>
      </c>
      <c r="E28" s="0" t="s">
        <v>613</v>
      </c>
      <c r="F28" s="0" t="s">
        <v>16</v>
      </c>
    </row>
    <row r="29" customFormat="false" ht="15" hidden="false" customHeight="false" outlineLevel="0" collapsed="false">
      <c r="A29" s="0" t="n">
        <v>28</v>
      </c>
      <c r="B29" s="0" t="s">
        <v>650</v>
      </c>
      <c r="C29" s="0" t="s">
        <v>651</v>
      </c>
      <c r="D29" s="0" t="s">
        <v>510</v>
      </c>
      <c r="E29" s="0" t="s">
        <v>613</v>
      </c>
      <c r="F29" s="0" t="s">
        <v>16</v>
      </c>
    </row>
    <row r="30" customFormat="false" ht="15" hidden="false" customHeight="false" outlineLevel="0" collapsed="false">
      <c r="A30" s="0" t="n">
        <v>29</v>
      </c>
      <c r="B30" s="0" t="s">
        <v>652</v>
      </c>
      <c r="C30" s="0" t="s">
        <v>653</v>
      </c>
      <c r="D30" s="0" t="s">
        <v>527</v>
      </c>
      <c r="E30" s="0" t="s">
        <v>613</v>
      </c>
      <c r="F30" s="0" t="s">
        <v>16</v>
      </c>
    </row>
    <row r="31" customFormat="false" ht="15" hidden="false" customHeight="false" outlineLevel="0" collapsed="false">
      <c r="A31" s="0" t="n">
        <v>30</v>
      </c>
      <c r="B31" s="0" t="s">
        <v>654</v>
      </c>
      <c r="C31" s="0" t="s">
        <v>655</v>
      </c>
      <c r="D31" s="0" t="s">
        <v>548</v>
      </c>
      <c r="E31" s="0" t="s">
        <v>613</v>
      </c>
      <c r="F31" s="0" t="s">
        <v>16</v>
      </c>
    </row>
    <row r="32" customFormat="false" ht="15" hidden="false" customHeight="false" outlineLevel="0" collapsed="false">
      <c r="A32" s="0" t="n">
        <v>31</v>
      </c>
      <c r="B32" s="0" t="s">
        <v>656</v>
      </c>
      <c r="C32" s="0" t="s">
        <v>544</v>
      </c>
      <c r="D32" s="0" t="s">
        <v>563</v>
      </c>
      <c r="E32" s="0" t="s">
        <v>613</v>
      </c>
      <c r="F32" s="0" t="s">
        <v>16</v>
      </c>
    </row>
    <row r="33" customFormat="false" ht="15" hidden="false" customHeight="false" outlineLevel="0" collapsed="false">
      <c r="A33" s="0" t="n">
        <v>32</v>
      </c>
      <c r="B33" s="0" t="s">
        <v>657</v>
      </c>
      <c r="C33" s="0" t="s">
        <v>564</v>
      </c>
      <c r="D33" s="0" t="s">
        <v>582</v>
      </c>
      <c r="E33" s="0" t="s">
        <v>613</v>
      </c>
      <c r="F33" s="0" t="s">
        <v>16</v>
      </c>
    </row>
    <row r="34" customFormat="false" ht="15" hidden="false" customHeight="false" outlineLevel="0" collapsed="false">
      <c r="A34" s="0" t="n">
        <v>33</v>
      </c>
      <c r="B34" s="0" t="s">
        <v>658</v>
      </c>
      <c r="C34" s="0" t="s">
        <v>564</v>
      </c>
      <c r="D34" s="0" t="s">
        <v>599</v>
      </c>
      <c r="E34" s="0" t="s">
        <v>613</v>
      </c>
      <c r="F34" s="0" t="s">
        <v>16</v>
      </c>
    </row>
    <row r="35" customFormat="false" ht="15" hidden="false" customHeight="false" outlineLevel="0" collapsed="false">
      <c r="A35" s="0" t="n">
        <v>34</v>
      </c>
      <c r="B35" s="0" t="s">
        <v>659</v>
      </c>
      <c r="C35" s="0" t="s">
        <v>564</v>
      </c>
      <c r="D35" s="0" t="s">
        <v>605</v>
      </c>
      <c r="E35" s="0" t="s">
        <v>613</v>
      </c>
      <c r="F35" s="0" t="s">
        <v>16</v>
      </c>
    </row>
  </sheetData>
  <autoFilter ref="A1:G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5"/>
    <col collapsed="false" customWidth="true" hidden="false" outlineLevel="0" max="3" min="3" style="0" width="50"/>
    <col collapsed="false" customWidth="true" hidden="false" outlineLevel="0" max="4" min="4" style="0" width="70"/>
  </cols>
  <sheetData>
    <row r="1" customFormat="false" ht="15" hidden="false" customHeight="false" outlineLevel="0" collapsed="false">
      <c r="A1" s="5" t="s">
        <v>660</v>
      </c>
      <c r="B1" s="5" t="s">
        <v>661</v>
      </c>
      <c r="C1" s="5" t="s">
        <v>662</v>
      </c>
      <c r="D1" s="5" t="s">
        <v>663</v>
      </c>
    </row>
    <row r="2" customFormat="false" ht="15" hidden="false" customHeight="false" outlineLevel="0" collapsed="false">
      <c r="A2" s="0" t="s">
        <v>664</v>
      </c>
      <c r="B2" s="0" t="n">
        <v>1</v>
      </c>
      <c r="C2" s="0" t="n">
        <v>16</v>
      </c>
      <c r="D2" s="0" t="s">
        <v>665</v>
      </c>
    </row>
    <row r="3" customFormat="false" ht="15" hidden="false" customHeight="false" outlineLevel="0" collapsed="false">
      <c r="A3" s="0" t="s">
        <v>666</v>
      </c>
      <c r="B3" s="0" t="n">
        <v>17</v>
      </c>
      <c r="C3" s="0" t="n">
        <v>58</v>
      </c>
      <c r="D3" s="0" t="s">
        <v>667</v>
      </c>
    </row>
    <row r="4" customFormat="false" ht="15" hidden="false" customHeight="false" outlineLevel="0" collapsed="false">
      <c r="A4" s="0" t="s">
        <v>668</v>
      </c>
      <c r="B4" s="0" t="n">
        <v>59</v>
      </c>
      <c r="C4" s="0" t="n">
        <v>80</v>
      </c>
      <c r="D4" s="0" t="s">
        <v>669</v>
      </c>
    </row>
    <row r="5" customFormat="false" ht="15" hidden="false" customHeight="false" outlineLevel="0" collapsed="false">
      <c r="A5" s="0" t="s">
        <v>670</v>
      </c>
      <c r="B5" s="0" t="n">
        <v>81</v>
      </c>
      <c r="C5" s="0" t="n">
        <v>94</v>
      </c>
      <c r="D5" s="0" t="s">
        <v>671</v>
      </c>
    </row>
    <row r="6" customFormat="false" ht="15" hidden="false" customHeight="false" outlineLevel="0" collapsed="false">
      <c r="A6" s="0" t="s">
        <v>672</v>
      </c>
      <c r="B6" s="0" t="n">
        <v>95</v>
      </c>
      <c r="C6" s="0" t="n">
        <v>109</v>
      </c>
      <c r="D6" s="0" t="s">
        <v>673</v>
      </c>
    </row>
    <row r="7" customFormat="false" ht="15" hidden="false" customHeight="false" outlineLevel="0" collapsed="false">
      <c r="A7" s="0" t="s">
        <v>674</v>
      </c>
      <c r="B7" s="0" t="n">
        <v>110</v>
      </c>
      <c r="C7" s="0" t="n">
        <v>119</v>
      </c>
      <c r="D7" s="0" t="s">
        <v>675</v>
      </c>
    </row>
    <row r="8" customFormat="false" ht="15" hidden="false" customHeight="false" outlineLevel="0" collapsed="false">
      <c r="A8" s="0" t="s">
        <v>676</v>
      </c>
      <c r="B8" s="0" t="n">
        <v>120</v>
      </c>
      <c r="C8" s="0" t="n">
        <v>136</v>
      </c>
      <c r="D8" s="0" t="s">
        <v>677</v>
      </c>
    </row>
    <row r="9" customFormat="false" ht="15" hidden="false" customHeight="false" outlineLevel="0" collapsed="false">
      <c r="A9" s="0" t="s">
        <v>678</v>
      </c>
      <c r="B9" s="0" t="n">
        <v>137</v>
      </c>
      <c r="C9" s="0" t="n">
        <v>143</v>
      </c>
      <c r="D9" s="0" t="s">
        <v>679</v>
      </c>
    </row>
    <row r="10" customFormat="false" ht="15" hidden="false" customHeight="false" outlineLevel="0" collapsed="false">
      <c r="A10" s="0" t="s">
        <v>680</v>
      </c>
      <c r="B10" s="0" t="n">
        <v>144</v>
      </c>
      <c r="C10" s="0" t="n">
        <v>167</v>
      </c>
      <c r="D10" s="0" t="s">
        <v>681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6" t="s">
        <v>682</v>
      </c>
      <c r="B1" s="6"/>
    </row>
    <row r="2" customFormat="false" ht="15" hidden="false" customHeight="false" outlineLevel="0" collapsed="false">
      <c r="A2" s="2" t="s">
        <v>683</v>
      </c>
      <c r="B2" s="2" t="s">
        <v>684</v>
      </c>
    </row>
    <row r="3" customFormat="false" ht="15" hidden="false" customHeight="false" outlineLevel="0" collapsed="false">
      <c r="A3" s="2" t="s">
        <v>685</v>
      </c>
      <c r="B3" s="2" t="s">
        <v>686</v>
      </c>
    </row>
    <row r="4" customFormat="false" ht="15" hidden="false" customHeight="false" outlineLevel="0" collapsed="false">
      <c r="A4" s="2" t="s">
        <v>492</v>
      </c>
      <c r="B4" s="2" t="s">
        <v>687</v>
      </c>
    </row>
    <row r="5" customFormat="false" ht="15" hidden="false" customHeight="false" outlineLevel="0" collapsed="false">
      <c r="A5" s="2" t="s">
        <v>688</v>
      </c>
      <c r="B5" s="2" t="s">
        <v>689</v>
      </c>
    </row>
    <row r="6" customFormat="false" ht="15" hidden="false" customHeight="false" outlineLevel="0" collapsed="false">
      <c r="A6" s="2" t="s">
        <v>8</v>
      </c>
      <c r="B6" s="2" t="s">
        <v>690</v>
      </c>
    </row>
    <row r="7" customFormat="false" ht="15" hidden="false" customHeight="false" outlineLevel="0" collapsed="false">
      <c r="A7" s="2" t="s">
        <v>691</v>
      </c>
      <c r="B7" s="2" t="s">
        <v>692</v>
      </c>
    </row>
    <row r="8" customFormat="false" ht="28.35" hidden="false" customHeight="false" outlineLevel="0" collapsed="false">
      <c r="A8" s="2" t="s">
        <v>693</v>
      </c>
      <c r="B8" s="2" t="s">
        <v>694</v>
      </c>
    </row>
    <row r="9" customFormat="false" ht="28.35" hidden="false" customHeight="false" outlineLevel="0" collapsed="false">
      <c r="A9" s="2" t="s">
        <v>695</v>
      </c>
      <c r="B9" s="2" t="s">
        <v>696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5" hidden="false" customHeight="false" outlineLevel="0" collapsed="false">
      <c r="A1" s="5" t="s">
        <v>697</v>
      </c>
      <c r="B1" s="5" t="s">
        <v>698</v>
      </c>
    </row>
    <row r="2" customFormat="false" ht="15" hidden="false" customHeight="false" outlineLevel="0" collapsed="false">
      <c r="A2" s="0" t="s">
        <v>699</v>
      </c>
      <c r="B2" s="0" t="n">
        <f aca="false">COUNTA('Daily Plan'!A:A)-1</f>
        <v>167</v>
      </c>
    </row>
    <row r="3" customFormat="false" ht="15" hidden="false" customHeight="false" outlineLevel="0" collapsed="false">
      <c r="A3" s="0" t="s">
        <v>700</v>
      </c>
      <c r="B3" s="0" t="n">
        <f aca="false">COUNTIF('Daily Plan'!I:I,"Done")</f>
        <v>0</v>
      </c>
    </row>
    <row r="4" customFormat="false" ht="15" hidden="false" customHeight="false" outlineLevel="0" collapsed="false">
      <c r="A4" s="0" t="s">
        <v>701</v>
      </c>
      <c r="B4" s="0" t="n">
        <f aca="false">COUNTIF('Daily Plan'!I:I,"In Progress")</f>
        <v>0</v>
      </c>
    </row>
    <row r="5" customFormat="false" ht="15" hidden="false" customHeight="false" outlineLevel="0" collapsed="false">
      <c r="A5" s="0" t="s">
        <v>702</v>
      </c>
      <c r="B5" s="0" t="n">
        <f aca="false">COUNTIF('Daily Plan'!I:I,"Blocked")</f>
        <v>0</v>
      </c>
    </row>
    <row r="6" customFormat="false" ht="15" hidden="false" customHeight="false" outlineLevel="0" collapsed="false">
      <c r="A6" s="0" t="s">
        <v>703</v>
      </c>
      <c r="B6" s="7" t="n">
        <f aca="false">IF(B2=0,0,B3/B2)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8"/>
    <col collapsed="false" customWidth="true" hidden="false" outlineLevel="0" max="3" min="3" style="0" width="14"/>
    <col collapsed="false" customWidth="true" hidden="false" outlineLevel="0" max="4" min="4" style="0" width="65"/>
  </cols>
  <sheetData>
    <row r="1" customFormat="false" ht="15" hidden="false" customHeight="false" outlineLevel="0" collapsed="false">
      <c r="A1" s="1" t="s">
        <v>704</v>
      </c>
      <c r="B1" s="1" t="s">
        <v>705</v>
      </c>
      <c r="C1" s="1" t="s">
        <v>706</v>
      </c>
      <c r="D1" s="1" t="s">
        <v>707</v>
      </c>
    </row>
    <row r="2" customFormat="false" ht="41.75" hidden="false" customHeight="false" outlineLevel="0" collapsed="false">
      <c r="A2" s="2" t="s">
        <v>708</v>
      </c>
      <c r="B2" s="2" t="s">
        <v>709</v>
      </c>
      <c r="C2" s="2" t="s">
        <v>710</v>
      </c>
      <c r="D2" s="2" t="s">
        <v>711</v>
      </c>
    </row>
    <row r="3" customFormat="false" ht="28.35" hidden="false" customHeight="false" outlineLevel="0" collapsed="false">
      <c r="A3" s="2" t="s">
        <v>712</v>
      </c>
      <c r="B3" s="2" t="s">
        <v>713</v>
      </c>
      <c r="C3" s="2" t="s">
        <v>714</v>
      </c>
      <c r="D3" s="2" t="s">
        <v>715</v>
      </c>
    </row>
    <row r="4" customFormat="false" ht="15" hidden="false" customHeight="false" outlineLevel="0" collapsed="false">
      <c r="A4" s="2" t="s">
        <v>716</v>
      </c>
      <c r="B4" s="2" t="s">
        <v>717</v>
      </c>
      <c r="C4" s="2" t="s">
        <v>710</v>
      </c>
      <c r="D4" s="2" t="s">
        <v>718</v>
      </c>
    </row>
    <row r="5" customFormat="false" ht="28.35" hidden="false" customHeight="false" outlineLevel="0" collapsed="false">
      <c r="A5" s="2" t="s">
        <v>719</v>
      </c>
      <c r="B5" s="2" t="s">
        <v>720</v>
      </c>
      <c r="C5" s="2" t="s">
        <v>710</v>
      </c>
      <c r="D5" s="2" t="s">
        <v>721</v>
      </c>
    </row>
    <row r="6" customFormat="false" ht="15" hidden="false" customHeight="false" outlineLevel="0" collapsed="false">
      <c r="A6" s="2" t="s">
        <v>722</v>
      </c>
      <c r="B6" s="2" t="s">
        <v>723</v>
      </c>
      <c r="C6" s="2" t="s">
        <v>710</v>
      </c>
      <c r="D6" s="2" t="s">
        <v>724</v>
      </c>
    </row>
    <row r="7" customFormat="false" ht="41.75" hidden="false" customHeight="false" outlineLevel="0" collapsed="false">
      <c r="A7" s="2" t="s">
        <v>725</v>
      </c>
      <c r="B7" s="2" t="s">
        <v>726</v>
      </c>
      <c r="C7" s="2" t="s">
        <v>714</v>
      </c>
      <c r="D7" s="2" t="s">
        <v>727</v>
      </c>
    </row>
    <row r="8" customFormat="false" ht="28.35" hidden="false" customHeight="false" outlineLevel="0" collapsed="false">
      <c r="A8" s="2" t="s">
        <v>728</v>
      </c>
      <c r="B8" s="2" t="s">
        <v>729</v>
      </c>
      <c r="C8" s="2" t="s">
        <v>710</v>
      </c>
      <c r="D8" s="2" t="s">
        <v>730</v>
      </c>
    </row>
    <row r="9" customFormat="false" ht="28.35" hidden="false" customHeight="false" outlineLevel="0" collapsed="false">
      <c r="A9" s="2" t="s">
        <v>731</v>
      </c>
      <c r="B9" s="2" t="s">
        <v>732</v>
      </c>
      <c r="C9" s="2" t="s">
        <v>714</v>
      </c>
      <c r="D9" s="2" t="s">
        <v>733</v>
      </c>
    </row>
    <row r="10" customFormat="false" ht="41.75" hidden="false" customHeight="false" outlineLevel="0" collapsed="false">
      <c r="A10" s="2" t="s">
        <v>734</v>
      </c>
      <c r="B10" s="2" t="s">
        <v>735</v>
      </c>
      <c r="C10" s="2" t="s">
        <v>714</v>
      </c>
      <c r="D10" s="2" t="s">
        <v>736</v>
      </c>
    </row>
    <row r="11" customFormat="false" ht="28.35" hidden="false" customHeight="false" outlineLevel="0" collapsed="false">
      <c r="A11" s="2" t="s">
        <v>737</v>
      </c>
      <c r="B11" s="2" t="s">
        <v>738</v>
      </c>
      <c r="C11" s="2" t="s">
        <v>710</v>
      </c>
      <c r="D11" s="2" t="s">
        <v>739</v>
      </c>
    </row>
    <row r="12" customFormat="false" ht="28.35" hidden="false" customHeight="false" outlineLevel="0" collapsed="false">
      <c r="A12" s="2" t="s">
        <v>740</v>
      </c>
      <c r="B12" s="2" t="s">
        <v>741</v>
      </c>
      <c r="C12" s="2" t="s">
        <v>714</v>
      </c>
      <c r="D12" s="2" t="s">
        <v>742</v>
      </c>
    </row>
    <row r="13" customFormat="false" ht="55.2" hidden="false" customHeight="false" outlineLevel="0" collapsed="false">
      <c r="A13" s="2" t="s">
        <v>743</v>
      </c>
      <c r="B13" s="2" t="s">
        <v>744</v>
      </c>
      <c r="C13" s="2" t="s">
        <v>714</v>
      </c>
      <c r="D13" s="2" t="s">
        <v>745</v>
      </c>
    </row>
    <row r="14" customFormat="false" ht="41.75" hidden="false" customHeight="false" outlineLevel="0" collapsed="false">
      <c r="A14" s="2" t="s">
        <v>746</v>
      </c>
      <c r="B14" s="2" t="s">
        <v>747</v>
      </c>
      <c r="C14" s="2" t="s">
        <v>714</v>
      </c>
      <c r="D14" s="2" t="s">
        <v>748</v>
      </c>
    </row>
    <row r="15" customFormat="false" ht="28.35" hidden="false" customHeight="false" outlineLevel="0" collapsed="false">
      <c r="A15" s="2" t="s">
        <v>749</v>
      </c>
      <c r="B15" s="2" t="s">
        <v>750</v>
      </c>
      <c r="C15" s="2" t="s">
        <v>710</v>
      </c>
      <c r="D15" s="2" t="s">
        <v>751</v>
      </c>
    </row>
    <row r="16" customFormat="false" ht="15" hidden="false" customHeight="false" outlineLevel="0" collapsed="false">
      <c r="A16" s="2" t="s">
        <v>752</v>
      </c>
      <c r="B16" s="2" t="s">
        <v>729</v>
      </c>
      <c r="C16" s="2" t="s">
        <v>710</v>
      </c>
      <c r="D16" s="2" t="s">
        <v>753</v>
      </c>
    </row>
    <row r="17" customFormat="false" ht="28.35" hidden="false" customHeight="false" outlineLevel="0" collapsed="false">
      <c r="A17" s="2" t="s">
        <v>754</v>
      </c>
      <c r="B17" s="2" t="s">
        <v>755</v>
      </c>
      <c r="C17" s="2" t="s">
        <v>714</v>
      </c>
      <c r="D17" s="2" t="s">
        <v>756</v>
      </c>
    </row>
    <row r="18" customFormat="false" ht="28.35" hidden="false" customHeight="false" outlineLevel="0" collapsed="false">
      <c r="A18" s="2" t="s">
        <v>757</v>
      </c>
      <c r="B18" s="2" t="s">
        <v>758</v>
      </c>
      <c r="C18" s="2" t="s">
        <v>714</v>
      </c>
      <c r="D18" s="2" t="s">
        <v>759</v>
      </c>
    </row>
    <row r="19" customFormat="false" ht="15" hidden="false" customHeight="false" outlineLevel="0" collapsed="false">
      <c r="A19" s="2" t="s">
        <v>760</v>
      </c>
      <c r="B19" s="2" t="s">
        <v>761</v>
      </c>
      <c r="C19" s="2" t="s">
        <v>710</v>
      </c>
      <c r="D19" s="2" t="s">
        <v>762</v>
      </c>
    </row>
    <row r="20" customFormat="false" ht="28.35" hidden="false" customHeight="false" outlineLevel="0" collapsed="false">
      <c r="A20" s="2" t="s">
        <v>763</v>
      </c>
      <c r="B20" s="2" t="s">
        <v>764</v>
      </c>
      <c r="C20" s="2" t="s">
        <v>714</v>
      </c>
      <c r="D20" s="2" t="s">
        <v>765</v>
      </c>
    </row>
    <row r="21" customFormat="false" ht="28.35" hidden="false" customHeight="false" outlineLevel="0" collapsed="false">
      <c r="A21" s="2" t="s">
        <v>766</v>
      </c>
      <c r="B21" s="2" t="s">
        <v>767</v>
      </c>
      <c r="C21" s="2" t="s">
        <v>714</v>
      </c>
      <c r="D21" s="2" t="s">
        <v>768</v>
      </c>
    </row>
    <row r="22" customFormat="false" ht="28.35" hidden="false" customHeight="false" outlineLevel="0" collapsed="false">
      <c r="A22" s="2" t="s">
        <v>769</v>
      </c>
      <c r="B22" s="2" t="s">
        <v>729</v>
      </c>
      <c r="C22" s="2" t="s">
        <v>710</v>
      </c>
      <c r="D22" s="2" t="s">
        <v>770</v>
      </c>
    </row>
    <row r="23" customFormat="false" ht="28.35" hidden="false" customHeight="false" outlineLevel="0" collapsed="false">
      <c r="A23" s="2" t="s">
        <v>771</v>
      </c>
      <c r="B23" s="2" t="s">
        <v>772</v>
      </c>
      <c r="C23" s="2" t="s">
        <v>710</v>
      </c>
      <c r="D23" s="2" t="s">
        <v>773</v>
      </c>
    </row>
    <row r="24" customFormat="false" ht="28.35" hidden="false" customHeight="false" outlineLevel="0" collapsed="false">
      <c r="A24" s="2" t="s">
        <v>774</v>
      </c>
      <c r="B24" s="2" t="s">
        <v>775</v>
      </c>
      <c r="C24" s="2" t="s">
        <v>776</v>
      </c>
      <c r="D24" s="2" t="s">
        <v>777</v>
      </c>
    </row>
    <row r="25" customFormat="false" ht="28.35" hidden="false" customHeight="false" outlineLevel="0" collapsed="false">
      <c r="A25" s="2" t="s">
        <v>778</v>
      </c>
      <c r="B25" s="2" t="s">
        <v>779</v>
      </c>
      <c r="C25" s="2" t="s">
        <v>714</v>
      </c>
      <c r="D25" s="2" t="s">
        <v>780</v>
      </c>
    </row>
    <row r="26" customFormat="false" ht="28.35" hidden="false" customHeight="false" outlineLevel="0" collapsed="false">
      <c r="A26" s="2" t="s">
        <v>781</v>
      </c>
      <c r="B26" s="2" t="s">
        <v>782</v>
      </c>
      <c r="C26" s="2" t="s">
        <v>714</v>
      </c>
      <c r="D26" s="2" t="s">
        <v>783</v>
      </c>
    </row>
    <row r="27" customFormat="false" ht="28.35" hidden="false" customHeight="false" outlineLevel="0" collapsed="false">
      <c r="A27" s="2" t="s">
        <v>784</v>
      </c>
      <c r="B27" s="2" t="s">
        <v>785</v>
      </c>
      <c r="C27" s="2" t="s">
        <v>776</v>
      </c>
      <c r="D27" s="2" t="s">
        <v>786</v>
      </c>
    </row>
    <row r="28" customFormat="false" ht="28.35" hidden="false" customHeight="false" outlineLevel="0" collapsed="false">
      <c r="A28" s="2" t="s">
        <v>787</v>
      </c>
      <c r="B28" s="2" t="s">
        <v>788</v>
      </c>
      <c r="C28" s="2" t="s">
        <v>714</v>
      </c>
      <c r="D28" s="2" t="s">
        <v>789</v>
      </c>
    </row>
    <row r="29" customFormat="false" ht="28.35" hidden="false" customHeight="false" outlineLevel="0" collapsed="false">
      <c r="A29" s="2" t="s">
        <v>790</v>
      </c>
      <c r="B29" s="2" t="s">
        <v>791</v>
      </c>
      <c r="C29" s="2" t="s">
        <v>776</v>
      </c>
      <c r="D29" s="2" t="s">
        <v>792</v>
      </c>
    </row>
    <row r="30" customFormat="false" ht="28.35" hidden="false" customHeight="false" outlineLevel="0" collapsed="false">
      <c r="A30" s="2" t="s">
        <v>793</v>
      </c>
      <c r="B30" s="2" t="s">
        <v>794</v>
      </c>
      <c r="C30" s="2" t="s">
        <v>714</v>
      </c>
      <c r="D30" s="2" t="s">
        <v>795</v>
      </c>
    </row>
    <row r="31" customFormat="false" ht="15" hidden="false" customHeight="false" outlineLevel="0" collapsed="false">
      <c r="A31" s="2" t="s">
        <v>796</v>
      </c>
      <c r="B31" s="2" t="s">
        <v>797</v>
      </c>
      <c r="C31" s="2" t="s">
        <v>710</v>
      </c>
      <c r="D31" s="2" t="s">
        <v>798</v>
      </c>
    </row>
    <row r="32" customFormat="false" ht="15" hidden="false" customHeight="false" outlineLevel="0" collapsed="false">
      <c r="A32" s="2" t="s">
        <v>799</v>
      </c>
      <c r="B32" s="2" t="s">
        <v>800</v>
      </c>
      <c r="C32" s="2" t="s">
        <v>710</v>
      </c>
      <c r="D32" s="2" t="s">
        <v>801</v>
      </c>
    </row>
    <row r="33" customFormat="false" ht="15" hidden="false" customHeight="false" outlineLevel="0" collapsed="false">
      <c r="A33" s="2" t="s">
        <v>802</v>
      </c>
      <c r="B33" s="2" t="s">
        <v>803</v>
      </c>
      <c r="C33" s="2" t="s">
        <v>710</v>
      </c>
      <c r="D33" s="2" t="s">
        <v>804</v>
      </c>
    </row>
    <row r="34" customFormat="false" ht="28.35" hidden="false" customHeight="false" outlineLevel="0" collapsed="false">
      <c r="A34" s="2" t="s">
        <v>805</v>
      </c>
      <c r="B34" s="2" t="s">
        <v>806</v>
      </c>
      <c r="C34" s="2" t="s">
        <v>714</v>
      </c>
      <c r="D34" s="2" t="s">
        <v>807</v>
      </c>
    </row>
    <row r="35" customFormat="false" ht="41.75" hidden="false" customHeight="false" outlineLevel="0" collapsed="false">
      <c r="A35" s="2" t="s">
        <v>808</v>
      </c>
      <c r="B35" s="2" t="s">
        <v>809</v>
      </c>
      <c r="C35" s="2" t="s">
        <v>714</v>
      </c>
      <c r="D35" s="2" t="s">
        <v>810</v>
      </c>
    </row>
    <row r="36" customFormat="false" ht="28.35" hidden="false" customHeight="false" outlineLevel="0" collapsed="false">
      <c r="A36" s="2" t="s">
        <v>811</v>
      </c>
      <c r="B36" s="2" t="s">
        <v>812</v>
      </c>
      <c r="C36" s="2" t="s">
        <v>710</v>
      </c>
      <c r="D36" s="2" t="s">
        <v>813</v>
      </c>
    </row>
    <row r="37" customFormat="false" ht="41.75" hidden="false" customHeight="false" outlineLevel="0" collapsed="false">
      <c r="A37" s="2" t="s">
        <v>814</v>
      </c>
      <c r="B37" s="2" t="s">
        <v>815</v>
      </c>
      <c r="C37" s="2" t="s">
        <v>710</v>
      </c>
      <c r="D37" s="2" t="s">
        <v>816</v>
      </c>
    </row>
    <row r="38" customFormat="false" ht="41.75" hidden="false" customHeight="false" outlineLevel="0" collapsed="false">
      <c r="A38" s="2" t="s">
        <v>817</v>
      </c>
      <c r="B38" s="2" t="s">
        <v>818</v>
      </c>
      <c r="C38" s="2" t="s">
        <v>714</v>
      </c>
      <c r="D38" s="2" t="s">
        <v>819</v>
      </c>
    </row>
    <row r="39" customFormat="false" ht="15" hidden="false" customHeight="false" outlineLevel="0" collapsed="false">
      <c r="A39" s="2" t="s">
        <v>820</v>
      </c>
      <c r="B39" s="2" t="s">
        <v>729</v>
      </c>
      <c r="C39" s="2" t="s">
        <v>710</v>
      </c>
      <c r="D39" s="2" t="s">
        <v>821</v>
      </c>
    </row>
  </sheetData>
  <autoFilter ref="A1:D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70"/>
    <col collapsed="false" customWidth="true" hidden="false" outlineLevel="0" max="4" min="4" style="0" width="38"/>
  </cols>
  <sheetData>
    <row r="1" customFormat="false" ht="15" hidden="false" customHeight="false" outlineLevel="0" collapsed="false">
      <c r="A1" s="5" t="s">
        <v>822</v>
      </c>
      <c r="B1" s="5" t="s">
        <v>823</v>
      </c>
      <c r="C1" s="5" t="s">
        <v>824</v>
      </c>
      <c r="D1" s="5" t="s">
        <v>825</v>
      </c>
    </row>
    <row r="2" customFormat="false" ht="41.75" hidden="false" customHeight="false" outlineLevel="0" collapsed="false">
      <c r="A2" s="2" t="s">
        <v>826</v>
      </c>
      <c r="B2" s="2" t="s">
        <v>827</v>
      </c>
      <c r="C2" s="2" t="s">
        <v>828</v>
      </c>
      <c r="D2" s="2" t="s">
        <v>829</v>
      </c>
    </row>
    <row r="3" customFormat="false" ht="28.35" hidden="false" customHeight="false" outlineLevel="0" collapsed="false">
      <c r="A3" s="2" t="s">
        <v>826</v>
      </c>
      <c r="B3" s="2" t="s">
        <v>830</v>
      </c>
      <c r="C3" s="2" t="s">
        <v>831</v>
      </c>
      <c r="D3" s="2" t="s">
        <v>832</v>
      </c>
    </row>
    <row r="4" customFormat="false" ht="15" hidden="false" customHeight="false" outlineLevel="0" collapsed="false">
      <c r="A4" s="2" t="s">
        <v>826</v>
      </c>
      <c r="B4" s="2" t="s">
        <v>833</v>
      </c>
      <c r="C4" s="2" t="s">
        <v>834</v>
      </c>
      <c r="D4" s="2" t="s">
        <v>835</v>
      </c>
    </row>
    <row r="5" customFormat="false" ht="28.35" hidden="false" customHeight="false" outlineLevel="0" collapsed="false">
      <c r="A5" s="2" t="s">
        <v>826</v>
      </c>
      <c r="B5" s="2" t="s">
        <v>836</v>
      </c>
      <c r="C5" s="2" t="s">
        <v>837</v>
      </c>
      <c r="D5" s="2" t="s">
        <v>838</v>
      </c>
    </row>
    <row r="6" customFormat="false" ht="15" hidden="false" customHeight="false" outlineLevel="0" collapsed="false">
      <c r="A6" s="2" t="s">
        <v>826</v>
      </c>
      <c r="B6" s="2" t="s">
        <v>839</v>
      </c>
      <c r="C6" s="2" t="s">
        <v>840</v>
      </c>
      <c r="D6" s="2" t="s">
        <v>841</v>
      </c>
    </row>
    <row r="7" customFormat="false" ht="28.35" hidden="false" customHeight="false" outlineLevel="0" collapsed="false">
      <c r="A7" s="2" t="s">
        <v>842</v>
      </c>
      <c r="B7" s="2" t="s">
        <v>843</v>
      </c>
      <c r="C7" s="2" t="s">
        <v>844</v>
      </c>
      <c r="D7" s="2" t="s">
        <v>845</v>
      </c>
    </row>
    <row r="8" customFormat="false" ht="15" hidden="false" customHeight="false" outlineLevel="0" collapsed="false">
      <c r="A8" s="2" t="s">
        <v>842</v>
      </c>
      <c r="B8" s="2" t="s">
        <v>846</v>
      </c>
      <c r="C8" s="2" t="s">
        <v>847</v>
      </c>
      <c r="D8" s="2" t="s">
        <v>848</v>
      </c>
    </row>
    <row r="9" customFormat="false" ht="28.35" hidden="false" customHeight="false" outlineLevel="0" collapsed="false">
      <c r="A9" s="2" t="s">
        <v>842</v>
      </c>
      <c r="B9" s="2" t="s">
        <v>849</v>
      </c>
      <c r="C9" s="2" t="s">
        <v>850</v>
      </c>
      <c r="D9" s="2" t="s">
        <v>851</v>
      </c>
    </row>
    <row r="10" customFormat="false" ht="15" hidden="false" customHeight="false" outlineLevel="0" collapsed="false">
      <c r="A10" s="2" t="s">
        <v>842</v>
      </c>
      <c r="B10" s="2" t="s">
        <v>852</v>
      </c>
      <c r="C10" s="2" t="s">
        <v>853</v>
      </c>
      <c r="D10" s="2" t="s">
        <v>854</v>
      </c>
    </row>
    <row r="11" customFormat="false" ht="15" hidden="false" customHeight="false" outlineLevel="0" collapsed="false">
      <c r="A11" s="2" t="s">
        <v>842</v>
      </c>
      <c r="B11" s="2" t="s">
        <v>855</v>
      </c>
      <c r="C11" s="2" t="s">
        <v>856</v>
      </c>
      <c r="D11" s="2" t="s">
        <v>857</v>
      </c>
    </row>
    <row r="12" customFormat="false" ht="28.35" hidden="false" customHeight="false" outlineLevel="0" collapsed="false">
      <c r="A12" s="2" t="s">
        <v>858</v>
      </c>
      <c r="B12" s="2" t="s">
        <v>859</v>
      </c>
      <c r="C12" s="2" t="s">
        <v>860</v>
      </c>
      <c r="D12" s="2" t="s">
        <v>861</v>
      </c>
    </row>
    <row r="14" customFormat="false" ht="15" hidden="false" customHeight="false" outlineLevel="0" collapsed="false">
      <c r="A14" s="0" t="s">
        <v>862</v>
      </c>
      <c r="B14" s="0" t="s">
        <v>863</v>
      </c>
      <c r="C14" s="0" t="s">
        <v>864</v>
      </c>
      <c r="D14" s="0" t="s">
        <v>865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2026-09-17T13:16:46Z</dcterms:created>
  <dc:creator>openpyxl</dc:creator>
  <dc:description/>
  <dc:language>en-US</dc:language>
  <cp:lastModifiedBy/>
  <dcterms:modified xsi:type="dcterms:W3CDTF">2026-09-18T08:04:46Z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